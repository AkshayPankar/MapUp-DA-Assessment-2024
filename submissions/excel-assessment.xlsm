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SUS\Desktop\MapUp-DA-Assessment-2024\"/>
    </mc:Choice>
  </mc:AlternateContent>
  <bookViews>
    <workbookView xWindow="0" yWindow="0" windowWidth="23040" windowHeight="855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F20" i="19"/>
  <c r="F54" i="16"/>
  <c r="E54" i="16"/>
  <c r="D54" i="16"/>
  <c r="C54" i="16"/>
  <c r="B54" i="16"/>
  <c r="F53" i="16"/>
  <c r="E53" i="16"/>
  <c r="D53" i="16"/>
  <c r="C53" i="16"/>
  <c r="B53" i="16"/>
  <c r="F52" i="16"/>
  <c r="E52" i="16"/>
  <c r="D52" i="16"/>
  <c r="C52" i="16"/>
  <c r="B52" i="16"/>
  <c r="F51" i="16"/>
  <c r="E51" i="16"/>
  <c r="D51" i="16"/>
  <c r="C51" i="16"/>
  <c r="B51" i="16"/>
  <c r="F50" i="16"/>
  <c r="E50" i="16"/>
  <c r="D50" i="16"/>
  <c r="C50" i="16"/>
  <c r="B50" i="16"/>
  <c r="F49" i="16"/>
  <c r="E49" i="16"/>
  <c r="D49" i="16"/>
  <c r="C49" i="16"/>
  <c r="B49" i="16"/>
  <c r="F48" i="16"/>
  <c r="E48" i="16"/>
  <c r="D48" i="16"/>
  <c r="C48" i="16"/>
  <c r="B48" i="16"/>
  <c r="F47" i="16"/>
  <c r="E47" i="16"/>
  <c r="D47" i="16"/>
  <c r="C47" i="16"/>
  <c r="B47" i="16"/>
  <c r="F46" i="16"/>
  <c r="E46" i="16"/>
  <c r="D46" i="16"/>
  <c r="C46" i="16"/>
  <c r="B46" i="16"/>
  <c r="F45" i="16"/>
  <c r="E45" i="16"/>
  <c r="D45" i="16"/>
  <c r="C45" i="16"/>
  <c r="B45" i="16"/>
  <c r="F44" i="16"/>
  <c r="E44" i="16"/>
  <c r="D44" i="16"/>
  <c r="C44" i="16"/>
  <c r="B44" i="16"/>
  <c r="F43" i="16"/>
  <c r="E43" i="16"/>
  <c r="D43" i="16"/>
  <c r="C43" i="16"/>
  <c r="B43" i="16"/>
  <c r="F42" i="16"/>
  <c r="E42" i="16"/>
  <c r="D42" i="16"/>
  <c r="C42" i="16"/>
  <c r="B42" i="16"/>
  <c r="F41" i="16"/>
  <c r="E41" i="16"/>
  <c r="D41" i="16"/>
  <c r="C41" i="16"/>
  <c r="B41" i="16"/>
  <c r="F40" i="16"/>
  <c r="E40" i="16"/>
  <c r="D40" i="16"/>
  <c r="C40" i="16"/>
  <c r="B40" i="16"/>
  <c r="F39" i="16"/>
  <c r="E39" i="16"/>
  <c r="D39" i="16"/>
  <c r="C39" i="16"/>
  <c r="B39" i="16"/>
  <c r="F38" i="16"/>
  <c r="E38" i="16"/>
  <c r="D38" i="16"/>
  <c r="C38" i="16"/>
  <c r="B38" i="16"/>
  <c r="F37" i="16"/>
  <c r="E37" i="16"/>
  <c r="D37" i="16"/>
  <c r="C37" i="16"/>
  <c r="B37" i="16"/>
  <c r="F36" i="16"/>
  <c r="E36" i="16"/>
  <c r="D36" i="16"/>
  <c r="C36" i="16"/>
  <c r="B36" i="16"/>
  <c r="F35" i="16"/>
  <c r="E35" i="16"/>
  <c r="D35" i="16"/>
  <c r="C35" i="16"/>
  <c r="B35" i="16"/>
  <c r="F34" i="16"/>
  <c r="E34" i="16"/>
  <c r="D34" i="16"/>
  <c r="C34" i="16"/>
  <c r="B34" i="16"/>
  <c r="F33" i="16"/>
  <c r="E33" i="16"/>
  <c r="D33" i="16"/>
  <c r="C33" i="16"/>
  <c r="B33" i="16"/>
  <c r="F32" i="16"/>
  <c r="E32" i="16"/>
  <c r="D32" i="16"/>
  <c r="C32" i="16"/>
  <c r="B32" i="16"/>
  <c r="F31" i="16"/>
  <c r="E31" i="16"/>
  <c r="D31" i="16"/>
  <c r="C31" i="16"/>
  <c r="B31" i="16"/>
  <c r="F30" i="16"/>
  <c r="E30" i="16"/>
  <c r="D30" i="16"/>
  <c r="C30" i="16"/>
  <c r="B30" i="16"/>
  <c r="F29" i="16"/>
  <c r="E29" i="16"/>
  <c r="D29" i="16"/>
  <c r="C29" i="16"/>
  <c r="B29" i="16"/>
  <c r="F28" i="16"/>
  <c r="E28" i="16"/>
  <c r="D28" i="16"/>
  <c r="C28" i="16"/>
  <c r="B28" i="16"/>
  <c r="F27" i="16"/>
  <c r="E27" i="16"/>
  <c r="D27" i="16"/>
  <c r="C27" i="16"/>
  <c r="B27" i="16"/>
  <c r="F26" i="16"/>
  <c r="E26" i="16"/>
  <c r="D26" i="16"/>
  <c r="C26" i="16"/>
  <c r="B26" i="16"/>
  <c r="F25" i="16"/>
  <c r="E25" i="16"/>
  <c r="D25" i="16"/>
  <c r="C25" i="16"/>
  <c r="B25" i="16"/>
  <c r="F24" i="16"/>
  <c r="E24" i="16"/>
  <c r="D24" i="16"/>
  <c r="C24" i="16"/>
  <c r="B24" i="16"/>
  <c r="F23" i="16"/>
  <c r="E23" i="16"/>
  <c r="D23" i="16"/>
  <c r="C23" i="16"/>
  <c r="B23" i="16"/>
  <c r="F22" i="16"/>
  <c r="E22" i="16"/>
  <c r="D22" i="16"/>
  <c r="C22" i="16"/>
  <c r="B22" i="16"/>
  <c r="F21" i="16"/>
  <c r="E21" i="16"/>
  <c r="D21" i="16"/>
  <c r="C21" i="16"/>
  <c r="B21" i="16"/>
  <c r="F20" i="16"/>
  <c r="E20" i="16"/>
  <c r="D20" i="16"/>
  <c r="C20" i="16"/>
  <c r="B20" i="16"/>
  <c r="F19" i="16"/>
  <c r="E19" i="16"/>
  <c r="D19" i="16"/>
  <c r="C19" i="16"/>
  <c r="B19" i="16"/>
  <c r="F18" i="16"/>
  <c r="E18" i="16"/>
  <c r="D18" i="16"/>
  <c r="C18" i="16"/>
  <c r="B18" i="16"/>
  <c r="F17" i="16"/>
  <c r="E17" i="16"/>
  <c r="D17" i="16"/>
  <c r="C17" i="16"/>
  <c r="B17" i="16"/>
  <c r="F16" i="16"/>
  <c r="E16" i="16"/>
  <c r="D16" i="16"/>
  <c r="C16" i="16"/>
  <c r="B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H4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<sst xmlns="http://schemas.openxmlformats.org/spreadsheetml/2006/main" count="331" uniqueCount="185">
  <si>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</si>
  <si>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</si>
  <si>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</si>
  <si>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</si>
  <si>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</si>
  <si>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</si>
  <si>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</si>
  <si>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</si>
  <si>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</si>
  <si>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</si>
  <si>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</si>
  <si>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</si>
  <si>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</si>
  <si>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</si>
  <si>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</si>
  <si>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</si>
  <si>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</si>
  <si>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</si>
  <si>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</si>
  <si>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</si>
  <si>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</si>
  <si>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</si>
  <si>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</si>
  <si>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</si>
  <si>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</si>
  <si>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</si>
  <si>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</si>
  <si>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</si>
  <si>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</si>
  <si>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</si>
  <si>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</si>
  <si>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</si>
  <si>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</si>
  <si>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</si>
  <si>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</si>
  <si>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</si>
  <si>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</si>
  <si>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</si>
  <si>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</si>
  <si>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</si>
  <si>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</si>
  <si>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</si>
  <si>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</si>
  <si>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</si>
  <si>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</si>
  <si>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</si>
  <si>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</si>
  <si>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</si>
  <si>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</si>
  <si>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</si>
  <si>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</si>
  <si>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</si>
  <si>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</si>
  <si>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</si>
  <si>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</si>
  <si>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</si>
  <si>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</si>
  <si>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</si>
  <si>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</si>
  <si>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</si>
  <si>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</si>
  <si>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</si>
  <si>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</si>
  <si>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</si>
  <si>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</si>
  <si>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</si>
  <si>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</si>
  <si>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</si>
  <si>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</si>
  <si>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</si>
  <si>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</si>
  <si>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</si>
  <si>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</si>
  <si>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</si>
  <si>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</si>
  <si>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</si>
  <si>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</si>
  <si>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</si>
  <si>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</si>
  <si>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 xml:space="preserve">Task 1 C </t>
  </si>
  <si>
    <t>Task_ID</t>
  </si>
  <si>
    <t>Task_Description</t>
  </si>
  <si>
    <t>Description</t>
  </si>
  <si>
    <t>Value</t>
  </si>
  <si>
    <t>Mark assigned</t>
  </si>
  <si>
    <t>Please carry out the following tasks within the "Dataset" tab.</t>
  </si>
  <si>
    <t>Highlight all '-1' values in red colour and all '0' values in green.</t>
  </si>
  <si>
    <t>Red, Green done in data set</t>
  </si>
  <si>
    <t>Freeze the top row</t>
  </si>
  <si>
    <t>Done in data set</t>
  </si>
  <si>
    <t>Give the sum of all values greater than '20' in column H labelled 'car2'</t>
  </si>
  <si>
    <t>SUMIF(H2:H40,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</si>
  <si>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</si>
  <si>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</si>
  <si>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</si>
  <si>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</si>
  <si>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</si>
  <si>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</si>
  <si>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</si>
  <si>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</si>
  <si>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</si>
  <si>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</si>
  <si>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</si>
  <si>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</si>
  <si>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</si>
  <si>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</si>
  <si>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</si>
  <si>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</si>
  <si>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</si>
  <si>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</si>
  <si>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</si>
  <si>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</si>
  <si>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</si>
  <si>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</si>
  <si>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</si>
  <si>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</si>
  <si>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</si>
  <si>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</si>
  <si>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</si>
  <si>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</si>
  <si>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</si>
  <si>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</si>
  <si>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</si>
  <si>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</si>
  <si>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</si>
  <si>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</si>
  <si>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</si>
  <si>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</si>
  <si>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</si>
  <si>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</si>
  <si>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</si>
  <si>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</si>
  <si>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</si>
  <si>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</si>
  <si>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</si>
  <si>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</si>
  <si>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</si>
  <si>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</si>
  <si>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</si>
  <si>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</si>
  <si>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</si>
  <si>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</si>
  <si>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</si>
  <si>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</si>
  <si>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</si>
  <si>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</si>
  <si>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</si>
  <si>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</si>
  <si>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</si>
  <si>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</si>
  <si>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</si>
  <si>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</si>
  <si>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SUM(IFERROR(C12:C21,20))</t>
  </si>
  <si>
    <t>The formula uses `IFERROR` to handle the `#N/A` errors and replace them with a value of **20**. The function `IFNA(value, value_if_na)` checks each cell in the range **C2:C11** (the "Sales" column) for `#N/A` values:</t>
  </si>
  <si>
    <t>- If a cell contains `#N/A`, it replaces the value with **20**.</t>
  </si>
  <si>
    <t>- If the cell contains a valid number, it uses the original number.</t>
  </si>
  <si>
    <t>Date</t>
  </si>
  <si>
    <t>Then, the `SUM` function calculates the total sum of all the sales values in the range, with any `#N/A` values substituted by 20.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</si>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</sst>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6" formatCode="yyyy/mm/dd;@"/>
    <numFmt numFmtId="167" formatCode="hh:mm:ss;@"/>
    <numFmt numFmtId="168" formatCode="yyyy/mm/dd"/>
  </numFmts>
  <fonts count="1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511703848384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>
      <alignment vertical="top" wrapText="1"/>
    </xf>
  </cellStyleXfs>
  <cellXfs count="45">
    <xf numFmtId="0" fontId="0" fillId="0" borderId="0" xfId="0"/>
    <xf numFmtId="0" fontId="1" fillId="0" borderId="0" xfId="0" applyFont="1"/>
    <xf numFmtId="0" fontId="2" fillId="2" borderId="0" xfId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1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6" fillId="0" borderId="1" xfId="0" applyFont="1" applyBorder="1"/>
    <xf numFmtId="0" fontId="9" fillId="0" borderId="0" xfId="0" applyFont="1"/>
    <xf numFmtId="166" fontId="4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67" fontId="4" fillId="0" borderId="0" xfId="0" applyNumberFormat="1" applyFont="1"/>
    <xf numFmtId="0" fontId="12" fillId="0" borderId="0" xfId="0" applyFont="1"/>
    <xf numFmtId="167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68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11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4" xfId="6"/>
    <cellStyle name="Normal 5" xfId="7"/>
    <cellStyle name="Normal 5 2" xfId="8"/>
    <cellStyle name="Normal 5 3" xfId="9"/>
    <cellStyle name="Normal 7" xfId="10"/>
  </cellStyles>
  <dxfs count="4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92D050"/>
      </font>
    </dxf>
    <dxf>
      <font>
        <color rgb="FF00B050"/>
      </font>
    </dxf>
    <dxf>
      <font>
        <color rgb="FF92D050"/>
      </font>
    </dxf>
    <dxf>
      <font>
        <color rgb="FF00B050"/>
      </font>
    </dxf>
    <dxf>
      <font>
        <color rgb="FF92D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92D050"/>
      </font>
    </dxf>
    <dxf>
      <font>
        <color rgb="FFFF0000"/>
      </font>
    </dxf>
    <dxf>
      <font>
        <color rgb="FF9C0006"/>
      </font>
      <fill>
        <patternFill patternType="solid">
          <bgColor rgb="FFFFC7CE"/>
        </patternFill>
      </fill>
    </dxf>
    <dxf>
      <font>
        <b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>
      <tableStyleElement type="wholeTable" dxfId="40"/>
      <tableStyleElement type="headerRow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4506668294322"/>
  </sheetPr>
  <dimension ref="A1:C15"/>
  <sheetViews>
    <sheetView workbookViewId="0"/>
  </sheetViews>
  <sheetFormatPr defaultColWidth="11" defaultRowHeight="13.8"/>
  <cols>
    <col min="1" max="1" width="70.77734375" style="1" customWidth="1"/>
    <col min="2" max="16384" width="11" style="1"/>
  </cols>
  <sheetData>
    <row r="1" spans="1:3" ht="18">
      <c r="A1" s="40" t="s">
        <v>0</v>
      </c>
    </row>
    <row r="2" spans="1:3">
      <c r="A2" s="1" t="s">
        <v>1</v>
      </c>
    </row>
    <row r="3" spans="1:3">
      <c r="A3" s="1" t="s">
        <v>2</v>
      </c>
    </row>
    <row r="4" spans="1:3" ht="14.4">
      <c r="A4" s="1" t="s">
        <v>3</v>
      </c>
      <c r="C4" s="4"/>
    </row>
    <row r="5" spans="1:3">
      <c r="A5" s="1" t="s">
        <v>4</v>
      </c>
    </row>
    <row r="8" spans="1:3">
      <c r="A8" s="1" t="s">
        <v>5</v>
      </c>
    </row>
    <row r="9" spans="1:3">
      <c r="A9" s="41" t="s">
        <v>6</v>
      </c>
      <c r="B9" s="8" t="s">
        <v>7</v>
      </c>
    </row>
    <row r="10" spans="1:3">
      <c r="A10" s="42" t="s">
        <v>8</v>
      </c>
      <c r="B10" s="43">
        <v>25</v>
      </c>
    </row>
    <row r="11" spans="1:3">
      <c r="A11" s="42" t="s">
        <v>9</v>
      </c>
      <c r="B11" s="43">
        <v>30</v>
      </c>
    </row>
    <row r="12" spans="1:3">
      <c r="A12" s="42" t="s">
        <v>10</v>
      </c>
      <c r="B12" s="43">
        <v>10</v>
      </c>
    </row>
    <row r="13" spans="1:3">
      <c r="A13" s="42" t="s">
        <v>11</v>
      </c>
      <c r="B13" s="43">
        <v>20</v>
      </c>
    </row>
    <row r="14" spans="1:3">
      <c r="A14" s="42" t="s">
        <v>12</v>
      </c>
      <c r="B14" s="43">
        <v>40</v>
      </c>
    </row>
    <row r="15" spans="1:3">
      <c r="A15" s="44" t="s">
        <v>13</v>
      </c>
      <c r="B15" s="9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workbookViewId="0">
      <pane ySplit="1" topLeftCell="A2" activePane="bottomLeft" state="frozen"/>
      <selection pane="bottomLeft" activeCell="V40" sqref="V40"/>
    </sheetView>
  </sheetViews>
  <sheetFormatPr defaultColWidth="9" defaultRowHeight="14.4"/>
  <cols>
    <col min="1" max="1" width="25.44140625" style="4" customWidth="1"/>
    <col min="2" max="2" width="7.44140625" style="4" customWidth="1"/>
    <col min="3" max="3" width="9.77734375" style="4" customWidth="1"/>
    <col min="4" max="4" width="11" style="34" customWidth="1"/>
    <col min="5" max="5" width="9.21875" style="4" customWidth="1"/>
    <col min="6" max="6" width="10.44140625" style="34" customWidth="1"/>
    <col min="7" max="9" width="12.77734375" style="4" customWidth="1"/>
    <col min="10" max="12" width="13" style="4" customWidth="1"/>
    <col min="13" max="15" width="14.21875" style="4" customWidth="1"/>
    <col min="16" max="18" width="14.44140625" style="4" customWidth="1"/>
    <col min="19" max="20" width="18.77734375" style="4" customWidth="1"/>
    <col min="21" max="23" width="19" style="4" customWidth="1"/>
    <col min="24" max="24" width="12.5546875" style="4" customWidth="1"/>
    <col min="25" max="16384" width="9" style="4"/>
  </cols>
  <sheetData>
    <row r="1" spans="1:24" s="6" customFormat="1" ht="14.7" customHeight="1">
      <c r="A1" s="35" t="s">
        <v>14</v>
      </c>
      <c r="B1" s="35" t="s">
        <v>15</v>
      </c>
      <c r="C1" s="35" t="s">
        <v>16</v>
      </c>
      <c r="D1" s="36" t="s">
        <v>17</v>
      </c>
      <c r="E1" s="35" t="s">
        <v>18</v>
      </c>
      <c r="F1" s="36" t="s">
        <v>19</v>
      </c>
      <c r="G1" s="37" t="s">
        <v>20</v>
      </c>
      <c r="H1" s="37" t="s">
        <v>21</v>
      </c>
      <c r="I1" s="37" t="s">
        <v>22</v>
      </c>
      <c r="J1" s="38" t="s">
        <v>23</v>
      </c>
      <c r="K1" s="38" t="s">
        <v>24</v>
      </c>
      <c r="L1" s="38" t="s">
        <v>25</v>
      </c>
      <c r="M1" s="37" t="s">
        <v>26</v>
      </c>
      <c r="N1" s="37" t="s">
        <v>27</v>
      </c>
      <c r="O1" s="37" t="s">
        <v>28</v>
      </c>
      <c r="P1" s="38" t="s">
        <v>29</v>
      </c>
      <c r="Q1" s="38" t="s">
        <v>30</v>
      </c>
      <c r="R1" s="38" t="s">
        <v>31</v>
      </c>
      <c r="S1" s="37" t="s">
        <v>32</v>
      </c>
      <c r="T1" s="37" t="s">
        <v>33</v>
      </c>
      <c r="U1" s="38" t="s">
        <v>34</v>
      </c>
      <c r="V1" s="38" t="s">
        <v>35</v>
      </c>
      <c r="W1" s="38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34">
        <v>0</v>
      </c>
      <c r="E2" s="4" t="s">
        <v>40</v>
      </c>
      <c r="F2" s="34">
        <v>0.99998842592592596</v>
      </c>
      <c r="G2" s="4">
        <v>2.7</v>
      </c>
      <c r="H2" s="4">
        <v>3.6</v>
      </c>
      <c r="I2" s="4">
        <v>4.2</v>
      </c>
      <c r="J2" s="35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39">
        <v>45051</v>
      </c>
    </row>
    <row r="3" spans="1:24">
      <c r="A3" s="4" t="s">
        <v>41</v>
      </c>
      <c r="B3" s="4">
        <v>20002</v>
      </c>
      <c r="C3" s="4" t="s">
        <v>39</v>
      </c>
      <c r="D3" s="34">
        <v>0</v>
      </c>
      <c r="E3" s="4" t="s">
        <v>40</v>
      </c>
      <c r="F3" s="34">
        <v>0.99998842592592596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39">
        <v>45048</v>
      </c>
    </row>
    <row r="4" spans="1:24">
      <c r="A4" s="4" t="s">
        <v>42</v>
      </c>
      <c r="B4" s="4">
        <v>20004</v>
      </c>
      <c r="C4" s="4" t="s">
        <v>39</v>
      </c>
      <c r="D4" s="34">
        <v>0</v>
      </c>
      <c r="E4" s="4" t="s">
        <v>40</v>
      </c>
      <c r="F4" s="34">
        <v>0.99998842592592596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39">
        <v>45055</v>
      </c>
    </row>
    <row r="5" spans="1:24">
      <c r="A5" s="4" t="s">
        <v>43</v>
      </c>
      <c r="B5" s="4">
        <v>20006</v>
      </c>
      <c r="C5" s="4" t="s">
        <v>39</v>
      </c>
      <c r="D5" s="34">
        <v>0</v>
      </c>
      <c r="E5" s="4" t="s">
        <v>40</v>
      </c>
      <c r="F5" s="34">
        <v>0.99998842592592596</v>
      </c>
      <c r="G5" s="4">
        <v>4.9000000000000004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4.9000000000000004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39">
        <v>45059</v>
      </c>
    </row>
    <row r="6" spans="1:24">
      <c r="A6" s="4" t="s">
        <v>44</v>
      </c>
      <c r="B6" s="4">
        <v>20008</v>
      </c>
      <c r="C6" s="4" t="s">
        <v>39</v>
      </c>
      <c r="D6" s="34">
        <v>0</v>
      </c>
      <c r="E6" s="4" t="s">
        <v>40</v>
      </c>
      <c r="F6" s="34">
        <v>0.99998842592592596</v>
      </c>
      <c r="G6" s="4">
        <v>6.6</v>
      </c>
      <c r="H6" s="4">
        <v>8.8000000000000007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8.8000000000000007</v>
      </c>
      <c r="R6" s="4">
        <v>11</v>
      </c>
      <c r="S6" s="4">
        <v>18</v>
      </c>
      <c r="T6" s="4">
        <v>22.5</v>
      </c>
      <c r="U6" s="4">
        <v>8.8000000000000007</v>
      </c>
      <c r="V6" s="4">
        <v>11</v>
      </c>
      <c r="W6" s="4">
        <v>11</v>
      </c>
      <c r="X6" s="39">
        <v>45076</v>
      </c>
    </row>
    <row r="7" spans="1:24">
      <c r="A7" s="4" t="s">
        <v>45</v>
      </c>
      <c r="B7" s="4">
        <v>20010</v>
      </c>
      <c r="C7" s="4" t="s">
        <v>39</v>
      </c>
      <c r="D7" s="34">
        <v>0</v>
      </c>
      <c r="E7" s="4" t="s">
        <v>40</v>
      </c>
      <c r="F7" s="34">
        <v>0.99998842592592596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39">
        <v>45057</v>
      </c>
    </row>
    <row r="8" spans="1:24">
      <c r="A8" s="4" t="s">
        <v>46</v>
      </c>
      <c r="B8" s="4">
        <v>20012</v>
      </c>
      <c r="C8" s="4" t="s">
        <v>39</v>
      </c>
      <c r="D8" s="34">
        <v>0</v>
      </c>
      <c r="E8" s="4" t="s">
        <v>40</v>
      </c>
      <c r="F8" s="34">
        <v>0.99998842592592596</v>
      </c>
      <c r="G8" s="4">
        <v>9.4</v>
      </c>
      <c r="H8" s="4">
        <v>13.8</v>
      </c>
      <c r="I8" s="4">
        <v>16.100000000000001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32.799999999999997</v>
      </c>
      <c r="P8" s="4">
        <v>9.4</v>
      </c>
      <c r="Q8" s="4">
        <v>13.8</v>
      </c>
      <c r="R8" s="4">
        <v>16.100000000000001</v>
      </c>
      <c r="S8" s="4">
        <v>28.3</v>
      </c>
      <c r="T8" s="4">
        <v>32.799999999999997</v>
      </c>
      <c r="U8" s="4">
        <v>13.8</v>
      </c>
      <c r="V8" s="4">
        <v>16.100000000000001</v>
      </c>
      <c r="W8" s="4">
        <v>16.100000000000001</v>
      </c>
      <c r="X8" s="39">
        <v>45052</v>
      </c>
    </row>
    <row r="9" spans="1:24">
      <c r="A9" s="4" t="s">
        <v>47</v>
      </c>
      <c r="B9" s="4">
        <v>20014</v>
      </c>
      <c r="C9" s="4" t="s">
        <v>39</v>
      </c>
      <c r="D9" s="34">
        <v>0</v>
      </c>
      <c r="E9" s="4" t="s">
        <v>40</v>
      </c>
      <c r="F9" s="34">
        <v>0.99998842592592596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35.200000000000003</v>
      </c>
      <c r="O9" s="4">
        <v>43</v>
      </c>
      <c r="P9" s="4">
        <v>11.6</v>
      </c>
      <c r="Q9" s="4">
        <v>17.3</v>
      </c>
      <c r="R9" s="4">
        <v>21.3</v>
      </c>
      <c r="S9" s="4">
        <v>35.200000000000003</v>
      </c>
      <c r="T9" s="4">
        <v>43</v>
      </c>
      <c r="U9" s="4">
        <v>17.3</v>
      </c>
      <c r="V9" s="4">
        <v>21.3</v>
      </c>
      <c r="W9" s="4">
        <v>21.3</v>
      </c>
      <c r="X9" s="39">
        <v>45098</v>
      </c>
    </row>
    <row r="10" spans="1:24">
      <c r="A10" s="4" t="s">
        <v>48</v>
      </c>
      <c r="B10" s="4">
        <v>20016</v>
      </c>
      <c r="C10" s="4" t="s">
        <v>39</v>
      </c>
      <c r="D10" s="34">
        <v>0</v>
      </c>
      <c r="E10" s="4" t="s">
        <v>40</v>
      </c>
      <c r="F10" s="34">
        <v>0.99998842592592596</v>
      </c>
      <c r="G10" s="4">
        <v>16.100000000000001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32.799999999999997</v>
      </c>
      <c r="N10" s="4">
        <v>49</v>
      </c>
      <c r="O10" s="4">
        <v>59</v>
      </c>
      <c r="P10" s="4">
        <v>16.100000000000001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39">
        <v>45092</v>
      </c>
    </row>
    <row r="11" spans="1:24">
      <c r="A11" s="4" t="s">
        <v>49</v>
      </c>
      <c r="B11" s="4">
        <v>20018</v>
      </c>
      <c r="C11" s="4" t="s">
        <v>39</v>
      </c>
      <c r="D11" s="34">
        <v>0</v>
      </c>
      <c r="E11" s="4" t="s">
        <v>40</v>
      </c>
      <c r="F11" s="34">
        <v>0.99998842592592596</v>
      </c>
      <c r="G11" s="4">
        <v>18.399999999999999</v>
      </c>
      <c r="H11" s="4">
        <v>27.5</v>
      </c>
      <c r="I11" s="4">
        <v>33.799999999999997</v>
      </c>
      <c r="J11" s="4">
        <v>-1</v>
      </c>
      <c r="K11" s="4">
        <v>-1</v>
      </c>
      <c r="L11" s="4">
        <v>-1</v>
      </c>
      <c r="M11" s="4">
        <v>37.200000000000003</v>
      </c>
      <c r="N11" s="4">
        <v>55.6</v>
      </c>
      <c r="O11" s="4">
        <v>67.900000000000006</v>
      </c>
      <c r="P11" s="4">
        <v>18.399999999999999</v>
      </c>
      <c r="Q11" s="4">
        <v>27.5</v>
      </c>
      <c r="R11" s="4">
        <v>33.799999999999997</v>
      </c>
      <c r="S11" s="4">
        <v>55.6</v>
      </c>
      <c r="T11" s="4">
        <v>67.900000000000006</v>
      </c>
      <c r="U11" s="4">
        <v>27.5</v>
      </c>
      <c r="V11" s="4">
        <v>33.799999999999997</v>
      </c>
      <c r="W11" s="4">
        <v>33.799999999999997</v>
      </c>
      <c r="X11" s="39">
        <v>45104</v>
      </c>
    </row>
    <row r="12" spans="1:24">
      <c r="A12" s="4" t="s">
        <v>50</v>
      </c>
      <c r="B12" s="4">
        <v>20020</v>
      </c>
      <c r="C12" s="4" t="s">
        <v>39</v>
      </c>
      <c r="D12" s="34">
        <v>0</v>
      </c>
      <c r="E12" s="4" t="s">
        <v>40</v>
      </c>
      <c r="F12" s="34">
        <v>0.99998842592592596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39">
        <v>45116</v>
      </c>
    </row>
    <row r="13" spans="1:24">
      <c r="A13" s="4" t="s">
        <v>51</v>
      </c>
      <c r="B13" s="4">
        <v>20022</v>
      </c>
      <c r="C13" s="4" t="s">
        <v>39</v>
      </c>
      <c r="D13" s="34">
        <v>0</v>
      </c>
      <c r="E13" s="4" t="s">
        <v>40</v>
      </c>
      <c r="F13" s="34">
        <v>0.99998842592592596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76.599999999999994</v>
      </c>
      <c r="P13" s="4">
        <v>21.9</v>
      </c>
      <c r="Q13" s="4">
        <v>32.1</v>
      </c>
      <c r="R13" s="4">
        <v>40.1</v>
      </c>
      <c r="S13" s="4">
        <v>61.5</v>
      </c>
      <c r="T13" s="4">
        <v>76.599999999999994</v>
      </c>
      <c r="U13" s="4">
        <v>32.1</v>
      </c>
      <c r="V13" s="4">
        <v>40.1</v>
      </c>
      <c r="W13" s="4">
        <v>40.1</v>
      </c>
      <c r="X13" s="39">
        <v>45110</v>
      </c>
    </row>
    <row r="14" spans="1:24">
      <c r="A14" s="4" t="s">
        <v>52</v>
      </c>
      <c r="B14" s="4">
        <v>20024</v>
      </c>
      <c r="C14" s="4" t="s">
        <v>39</v>
      </c>
      <c r="D14" s="34">
        <v>0</v>
      </c>
      <c r="E14" s="4" t="s">
        <v>40</v>
      </c>
      <c r="F14" s="34">
        <v>0.99998842592592596</v>
      </c>
      <c r="G14" s="4">
        <v>23.5</v>
      </c>
      <c r="H14" s="4">
        <v>34.700000000000003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34.700000000000003</v>
      </c>
      <c r="R14" s="4">
        <v>42.7</v>
      </c>
      <c r="S14" s="4">
        <v>70.8</v>
      </c>
      <c r="T14" s="4">
        <v>86.6</v>
      </c>
      <c r="U14" s="4">
        <v>34.700000000000003</v>
      </c>
      <c r="V14" s="4">
        <v>42.7</v>
      </c>
      <c r="W14" s="4">
        <v>42.7</v>
      </c>
      <c r="X14" s="39">
        <v>45095</v>
      </c>
    </row>
    <row r="15" spans="1:24">
      <c r="A15" s="4" t="s">
        <v>53</v>
      </c>
      <c r="B15" s="4">
        <v>20026</v>
      </c>
      <c r="C15" s="4" t="s">
        <v>39</v>
      </c>
      <c r="D15" s="34">
        <v>0</v>
      </c>
      <c r="E15" s="4" t="s">
        <v>40</v>
      </c>
      <c r="F15" s="34">
        <v>0.99998842592592596</v>
      </c>
      <c r="G15" s="4">
        <v>26.8</v>
      </c>
      <c r="H15" s="4">
        <v>39.299999999999997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79.599999999999994</v>
      </c>
      <c r="O15" s="4">
        <v>96.8</v>
      </c>
      <c r="P15" s="4">
        <v>26.8</v>
      </c>
      <c r="Q15" s="4">
        <v>39.299999999999997</v>
      </c>
      <c r="R15" s="4">
        <v>47.9</v>
      </c>
      <c r="S15" s="4">
        <v>79.599999999999994</v>
      </c>
      <c r="T15" s="4">
        <v>96.8</v>
      </c>
      <c r="U15" s="4">
        <v>39.299999999999997</v>
      </c>
      <c r="V15" s="4">
        <v>47.9</v>
      </c>
      <c r="W15" s="4">
        <v>47.9</v>
      </c>
      <c r="X15" s="39">
        <v>45113</v>
      </c>
    </row>
    <row r="16" spans="1:24">
      <c r="A16" s="4" t="s">
        <v>54</v>
      </c>
      <c r="B16" s="4">
        <v>20028</v>
      </c>
      <c r="C16" s="4" t="s">
        <v>39</v>
      </c>
      <c r="D16" s="34">
        <v>0</v>
      </c>
      <c r="E16" s="4" t="s">
        <v>40</v>
      </c>
      <c r="F16" s="34">
        <v>0.99998842592592596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39">
        <v>45063</v>
      </c>
    </row>
    <row r="17" spans="1:24">
      <c r="A17" s="4" t="s">
        <v>55</v>
      </c>
      <c r="B17" s="4">
        <v>20030</v>
      </c>
      <c r="C17" s="4" t="s">
        <v>39</v>
      </c>
      <c r="D17" s="34">
        <v>0</v>
      </c>
      <c r="E17" s="4" t="s">
        <v>40</v>
      </c>
      <c r="F17" s="34">
        <v>0.99998842592592596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39">
        <v>45071</v>
      </c>
    </row>
    <row r="18" spans="1:24">
      <c r="A18" s="4" t="s">
        <v>56</v>
      </c>
      <c r="B18" s="4">
        <v>20032</v>
      </c>
      <c r="C18" s="4" t="s">
        <v>39</v>
      </c>
      <c r="D18" s="34">
        <v>0</v>
      </c>
      <c r="E18" s="4" t="s">
        <v>40</v>
      </c>
      <c r="F18" s="34">
        <v>0.99998842592592596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39">
        <v>45085</v>
      </c>
    </row>
    <row r="19" spans="1:24">
      <c r="A19" s="4" t="s">
        <v>57</v>
      </c>
      <c r="B19" s="4">
        <v>20034</v>
      </c>
      <c r="C19" s="4" t="s">
        <v>39</v>
      </c>
      <c r="D19" s="34">
        <v>0</v>
      </c>
      <c r="E19" s="4" t="s">
        <v>40</v>
      </c>
      <c r="F19" s="34">
        <v>0.99998842592592596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39">
        <v>45099</v>
      </c>
    </row>
    <row r="20" spans="1:24">
      <c r="A20" s="4" t="s">
        <v>58</v>
      </c>
      <c r="B20" s="4">
        <v>20036</v>
      </c>
      <c r="C20" s="4" t="s">
        <v>39</v>
      </c>
      <c r="D20" s="34">
        <v>0</v>
      </c>
      <c r="E20" s="4" t="s">
        <v>40</v>
      </c>
      <c r="F20" s="34">
        <v>0.99998842592592596</v>
      </c>
      <c r="G20" s="4">
        <v>33.799999999999997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67.900000000000006</v>
      </c>
      <c r="N20" s="4">
        <v>101.3</v>
      </c>
      <c r="O20" s="4">
        <v>124.4</v>
      </c>
      <c r="P20" s="4">
        <v>33.799999999999997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39">
        <v>45091</v>
      </c>
    </row>
    <row r="21" spans="1:24">
      <c r="A21" s="4" t="s">
        <v>59</v>
      </c>
      <c r="B21" s="4">
        <v>20038</v>
      </c>
      <c r="C21" s="4" t="s">
        <v>39</v>
      </c>
      <c r="D21" s="34">
        <v>0</v>
      </c>
      <c r="E21" s="4" t="s">
        <v>40</v>
      </c>
      <c r="F21" s="34">
        <v>0.99998842592592596</v>
      </c>
      <c r="G21" s="4">
        <v>34.700000000000003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34.700000000000003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39">
        <v>45079</v>
      </c>
    </row>
    <row r="22" spans="1:24">
      <c r="A22" s="4" t="s">
        <v>60</v>
      </c>
      <c r="B22" s="4">
        <v>20040</v>
      </c>
      <c r="C22" s="4" t="s">
        <v>39</v>
      </c>
      <c r="D22" s="34">
        <v>0</v>
      </c>
      <c r="E22" s="4" t="s">
        <v>40</v>
      </c>
      <c r="F22" s="34">
        <v>0.99998842592592596</v>
      </c>
      <c r="G22" s="4">
        <v>36.5</v>
      </c>
      <c r="H22" s="4">
        <v>54.6</v>
      </c>
      <c r="I22" s="4">
        <v>65.900000000000006</v>
      </c>
      <c r="J22" s="4">
        <v>-1</v>
      </c>
      <c r="K22" s="4">
        <v>-1</v>
      </c>
      <c r="L22" s="4">
        <v>-1</v>
      </c>
      <c r="M22" s="4">
        <v>73.900000000000006</v>
      </c>
      <c r="N22" s="4">
        <v>110.3</v>
      </c>
      <c r="O22" s="4">
        <v>133.4</v>
      </c>
      <c r="P22" s="4">
        <v>36.5</v>
      </c>
      <c r="Q22" s="4">
        <v>54.6</v>
      </c>
      <c r="R22" s="4">
        <v>65.900000000000006</v>
      </c>
      <c r="S22" s="4">
        <v>110.3</v>
      </c>
      <c r="T22" s="4">
        <v>133.4</v>
      </c>
      <c r="U22" s="4">
        <v>54.6</v>
      </c>
      <c r="V22" s="4">
        <v>65.900000000000006</v>
      </c>
      <c r="W22" s="4">
        <v>65.900000000000006</v>
      </c>
      <c r="X22" s="39">
        <v>45075</v>
      </c>
    </row>
    <row r="23" spans="1:24">
      <c r="A23" s="4" t="s">
        <v>61</v>
      </c>
      <c r="B23" s="4">
        <v>20042</v>
      </c>
      <c r="C23" s="4" t="s">
        <v>39</v>
      </c>
      <c r="D23" s="34">
        <v>0</v>
      </c>
      <c r="E23" s="4" t="s">
        <v>40</v>
      </c>
      <c r="F23" s="34">
        <v>0.99998842592592596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76.599999999999994</v>
      </c>
      <c r="N23" s="4">
        <v>115.5</v>
      </c>
      <c r="O23" s="4">
        <v>138.80000000000001</v>
      </c>
      <c r="P23" s="4">
        <v>38</v>
      </c>
      <c r="Q23" s="4">
        <v>57.2</v>
      </c>
      <c r="R23" s="4">
        <v>68.7</v>
      </c>
      <c r="S23" s="4">
        <v>115.5</v>
      </c>
      <c r="T23" s="4">
        <v>138.80000000000001</v>
      </c>
      <c r="U23" s="4">
        <v>57.2</v>
      </c>
      <c r="V23" s="4">
        <v>68.7</v>
      </c>
      <c r="W23" s="4">
        <v>68.7</v>
      </c>
      <c r="X23" s="39">
        <v>45110</v>
      </c>
    </row>
    <row r="24" spans="1:24">
      <c r="A24" s="4" t="s">
        <v>62</v>
      </c>
      <c r="B24" s="4">
        <v>20044</v>
      </c>
      <c r="C24" s="4" t="s">
        <v>39</v>
      </c>
      <c r="D24" s="34">
        <v>0</v>
      </c>
      <c r="E24" s="4" t="s">
        <v>40</v>
      </c>
      <c r="F24" s="34">
        <v>0.99998842592592596</v>
      </c>
      <c r="G24" s="4">
        <v>38.700000000000003</v>
      </c>
      <c r="H24" s="4">
        <v>59.2</v>
      </c>
      <c r="I24" s="4">
        <v>70.400000000000006</v>
      </c>
      <c r="J24" s="4">
        <v>-1</v>
      </c>
      <c r="K24" s="4">
        <v>-1</v>
      </c>
      <c r="L24" s="4">
        <v>-1</v>
      </c>
      <c r="M24" s="4">
        <v>78.599999999999994</v>
      </c>
      <c r="N24" s="4">
        <v>119.4</v>
      </c>
      <c r="O24" s="4">
        <v>142.5</v>
      </c>
      <c r="P24" s="4">
        <v>38.700000000000003</v>
      </c>
      <c r="Q24" s="4">
        <v>59.2</v>
      </c>
      <c r="R24" s="4">
        <v>70.400000000000006</v>
      </c>
      <c r="S24" s="4">
        <v>119.4</v>
      </c>
      <c r="T24" s="4">
        <v>142.5</v>
      </c>
      <c r="U24" s="4">
        <v>59.2</v>
      </c>
      <c r="V24" s="4">
        <v>70.400000000000006</v>
      </c>
      <c r="W24" s="4">
        <v>70.400000000000006</v>
      </c>
      <c r="X24" s="39">
        <v>45114</v>
      </c>
    </row>
    <row r="25" spans="1:24">
      <c r="A25" s="4" t="s">
        <v>63</v>
      </c>
      <c r="B25" s="4">
        <v>20046</v>
      </c>
      <c r="C25" s="4" t="s">
        <v>39</v>
      </c>
      <c r="D25" s="34">
        <v>0</v>
      </c>
      <c r="E25" s="4" t="s">
        <v>40</v>
      </c>
      <c r="F25" s="34">
        <v>0.99998842592592596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146.80000000000001</v>
      </c>
      <c r="P25" s="4">
        <v>40.1</v>
      </c>
      <c r="Q25" s="4">
        <v>59.2</v>
      </c>
      <c r="R25" s="4">
        <v>72.8</v>
      </c>
      <c r="S25" s="4">
        <v>119.4</v>
      </c>
      <c r="T25" s="4">
        <v>146.80000000000001</v>
      </c>
      <c r="U25" s="4">
        <v>59.2</v>
      </c>
      <c r="V25" s="4">
        <v>72.8</v>
      </c>
      <c r="W25" s="4">
        <v>72.8</v>
      </c>
      <c r="X25" s="39">
        <v>45118</v>
      </c>
    </row>
    <row r="26" spans="1:24">
      <c r="A26" s="4" t="s">
        <v>64</v>
      </c>
      <c r="B26" s="4">
        <v>20048</v>
      </c>
      <c r="C26" s="4" t="s">
        <v>39</v>
      </c>
      <c r="D26" s="34">
        <v>0</v>
      </c>
      <c r="E26" s="4" t="s">
        <v>40</v>
      </c>
      <c r="F26" s="34">
        <v>0.99998842592592596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39">
        <v>45142</v>
      </c>
    </row>
    <row r="27" spans="1:24">
      <c r="A27" s="4" t="s">
        <v>65</v>
      </c>
      <c r="B27" s="4">
        <v>20050</v>
      </c>
      <c r="C27" s="4" t="s">
        <v>39</v>
      </c>
      <c r="D27" s="34">
        <v>0</v>
      </c>
      <c r="E27" s="4" t="s">
        <v>40</v>
      </c>
      <c r="F27" s="34">
        <v>0.99998842592592596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39">
        <v>45146</v>
      </c>
    </row>
    <row r="28" spans="1:24">
      <c r="A28" s="4" t="s">
        <v>66</v>
      </c>
      <c r="B28" s="4">
        <v>20052</v>
      </c>
      <c r="C28" s="4" t="s">
        <v>39</v>
      </c>
      <c r="D28" s="34">
        <v>0</v>
      </c>
      <c r="E28" s="4" t="s">
        <v>40</v>
      </c>
      <c r="F28" s="34">
        <v>0.99998842592592596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39">
        <v>45108</v>
      </c>
    </row>
    <row r="29" spans="1:24">
      <c r="A29" s="4" t="s">
        <v>67</v>
      </c>
      <c r="B29" s="4">
        <v>20054</v>
      </c>
      <c r="C29" s="4" t="s">
        <v>39</v>
      </c>
      <c r="D29" s="34">
        <v>0</v>
      </c>
      <c r="E29" s="4" t="s">
        <v>40</v>
      </c>
      <c r="F29" s="34">
        <v>0.99998842592592596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39">
        <v>45153</v>
      </c>
    </row>
    <row r="30" spans="1:24">
      <c r="A30" s="4" t="s">
        <v>68</v>
      </c>
      <c r="B30" s="4">
        <v>20058</v>
      </c>
      <c r="C30" s="4" t="s">
        <v>39</v>
      </c>
      <c r="D30" s="34">
        <v>0</v>
      </c>
      <c r="E30" s="4" t="s">
        <v>40</v>
      </c>
      <c r="F30" s="34">
        <v>0.99998842592592596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39">
        <v>45150</v>
      </c>
    </row>
    <row r="31" spans="1:24">
      <c r="A31" s="4" t="s">
        <v>69</v>
      </c>
      <c r="B31" s="4">
        <v>20060</v>
      </c>
      <c r="C31" s="4" t="s">
        <v>39</v>
      </c>
      <c r="D31" s="34">
        <v>0</v>
      </c>
      <c r="E31" s="4" t="s">
        <v>40</v>
      </c>
      <c r="F31" s="34">
        <v>0.99998842592592596</v>
      </c>
      <c r="G31" s="4">
        <v>45</v>
      </c>
      <c r="H31" s="4">
        <v>65.900000000000006</v>
      </c>
      <c r="I31" s="4">
        <v>79.400000000000006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65.900000000000006</v>
      </c>
      <c r="R31" s="4">
        <v>79.400000000000006</v>
      </c>
      <c r="S31" s="4">
        <v>133.4</v>
      </c>
      <c r="T31" s="4">
        <v>160.9</v>
      </c>
      <c r="U31" s="4">
        <v>65.900000000000006</v>
      </c>
      <c r="V31" s="4">
        <v>79.400000000000006</v>
      </c>
      <c r="W31" s="4">
        <v>79.400000000000006</v>
      </c>
      <c r="X31" s="39">
        <v>45157</v>
      </c>
    </row>
    <row r="32" spans="1:24">
      <c r="A32" s="4" t="s">
        <v>70</v>
      </c>
      <c r="B32" s="4">
        <v>21000</v>
      </c>
      <c r="C32" s="4" t="s">
        <v>39</v>
      </c>
      <c r="D32" s="34">
        <v>0</v>
      </c>
      <c r="E32" s="4" t="s">
        <v>40</v>
      </c>
      <c r="F32" s="34">
        <v>0.99998842592592596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39">
        <v>45143</v>
      </c>
    </row>
    <row r="33" spans="1:24">
      <c r="A33" s="4" t="s">
        <v>71</v>
      </c>
      <c r="B33" s="4">
        <v>21002</v>
      </c>
      <c r="C33" s="4" t="s">
        <v>39</v>
      </c>
      <c r="D33" s="34">
        <v>0</v>
      </c>
      <c r="E33" s="4" t="s">
        <v>40</v>
      </c>
      <c r="F33" s="34">
        <v>0.99998842592592596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39">
        <v>45166</v>
      </c>
    </row>
    <row r="34" spans="1:24">
      <c r="A34" s="4" t="s">
        <v>72</v>
      </c>
      <c r="B34" s="4">
        <v>21004</v>
      </c>
      <c r="C34" s="4" t="s">
        <v>39</v>
      </c>
      <c r="D34" s="34">
        <v>0</v>
      </c>
      <c r="E34" s="4" t="s">
        <v>40</v>
      </c>
      <c r="F34" s="34">
        <v>0.99998842592592596</v>
      </c>
      <c r="G34" s="4">
        <v>43.3</v>
      </c>
      <c r="H34" s="4">
        <v>63.6</v>
      </c>
      <c r="I34" s="4">
        <v>79.400000000000006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79.400000000000006</v>
      </c>
      <c r="S34" s="4">
        <v>128.6</v>
      </c>
      <c r="T34" s="4">
        <v>160.9</v>
      </c>
      <c r="U34" s="4">
        <v>63.6</v>
      </c>
      <c r="V34" s="4">
        <v>79.400000000000006</v>
      </c>
      <c r="W34" s="4">
        <v>79.400000000000006</v>
      </c>
      <c r="X34" s="39">
        <v>45162</v>
      </c>
    </row>
    <row r="35" spans="1:24">
      <c r="A35" s="4" t="s">
        <v>73</v>
      </c>
      <c r="B35" s="4">
        <v>21006</v>
      </c>
      <c r="C35" s="4" t="s">
        <v>39</v>
      </c>
      <c r="D35" s="34">
        <v>0</v>
      </c>
      <c r="E35" s="4" t="s">
        <v>40</v>
      </c>
      <c r="F35" s="34">
        <v>0.99998842592592596</v>
      </c>
      <c r="G35" s="4">
        <v>44.5</v>
      </c>
      <c r="H35" s="4">
        <v>65.900000000000006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65.900000000000006</v>
      </c>
      <c r="R35" s="4">
        <v>81.8</v>
      </c>
      <c r="S35" s="4">
        <v>133.4</v>
      </c>
      <c r="T35" s="4">
        <v>165.3</v>
      </c>
      <c r="U35" s="4">
        <v>65.900000000000006</v>
      </c>
      <c r="V35" s="4">
        <v>81.8</v>
      </c>
      <c r="W35" s="4">
        <v>81.8</v>
      </c>
      <c r="X35" s="39">
        <v>45160</v>
      </c>
    </row>
    <row r="36" spans="1:24">
      <c r="A36" s="4" t="s">
        <v>74</v>
      </c>
      <c r="B36" s="4">
        <v>21008</v>
      </c>
      <c r="C36" s="4" t="s">
        <v>39</v>
      </c>
      <c r="D36" s="34">
        <v>0</v>
      </c>
      <c r="E36" s="4" t="s">
        <v>40</v>
      </c>
      <c r="F36" s="34">
        <v>0.99998842592592596</v>
      </c>
      <c r="G36" s="4">
        <v>47.3</v>
      </c>
      <c r="H36" s="4">
        <v>70.400000000000006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70.400000000000006</v>
      </c>
      <c r="R36" s="4">
        <v>86.4</v>
      </c>
      <c r="S36" s="4">
        <v>142.5</v>
      </c>
      <c r="T36" s="4">
        <v>174.2</v>
      </c>
      <c r="U36" s="4">
        <v>70.400000000000006</v>
      </c>
      <c r="V36" s="4">
        <v>86.4</v>
      </c>
      <c r="W36" s="4">
        <v>86.4</v>
      </c>
      <c r="X36" s="39">
        <v>45179</v>
      </c>
    </row>
    <row r="37" spans="1:24">
      <c r="A37" s="4" t="s">
        <v>75</v>
      </c>
      <c r="B37" s="4">
        <v>21010</v>
      </c>
      <c r="C37" s="4" t="s">
        <v>39</v>
      </c>
      <c r="D37" s="34">
        <v>0</v>
      </c>
      <c r="E37" s="4" t="s">
        <v>40</v>
      </c>
      <c r="F37" s="34">
        <v>0.99998842592592596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39">
        <v>45157</v>
      </c>
    </row>
    <row r="38" spans="1:24">
      <c r="A38" s="4" t="s">
        <v>76</v>
      </c>
      <c r="B38" s="4">
        <v>21012</v>
      </c>
      <c r="C38" s="4" t="s">
        <v>39</v>
      </c>
      <c r="D38" s="34">
        <v>0</v>
      </c>
      <c r="E38" s="4" t="s">
        <v>40</v>
      </c>
      <c r="F38" s="34">
        <v>0.99998842592592596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146.80000000000001</v>
      </c>
      <c r="O38" s="4">
        <v>183.5</v>
      </c>
      <c r="P38" s="4">
        <v>49.1</v>
      </c>
      <c r="Q38" s="4">
        <v>72.8</v>
      </c>
      <c r="R38" s="4">
        <v>90.9</v>
      </c>
      <c r="S38" s="4">
        <v>146.80000000000001</v>
      </c>
      <c r="T38" s="4">
        <v>183.5</v>
      </c>
      <c r="U38" s="4">
        <v>72.8</v>
      </c>
      <c r="V38" s="4">
        <v>90.9</v>
      </c>
      <c r="W38" s="4">
        <v>90.9</v>
      </c>
      <c r="X38" s="39">
        <v>45143</v>
      </c>
    </row>
    <row r="39" spans="1:24">
      <c r="A39" s="4" t="s">
        <v>77</v>
      </c>
      <c r="B39" s="4">
        <v>21014</v>
      </c>
      <c r="C39" s="4" t="s">
        <v>39</v>
      </c>
      <c r="D39" s="34">
        <v>0</v>
      </c>
      <c r="E39" s="4" t="s">
        <v>40</v>
      </c>
      <c r="F39" s="34">
        <v>0.99998842592592596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39">
        <v>45166</v>
      </c>
    </row>
    <row r="40" spans="1:24">
      <c r="A40" s="4" t="s">
        <v>78</v>
      </c>
      <c r="B40" s="4">
        <v>21016</v>
      </c>
      <c r="C40" s="4" t="s">
        <v>39</v>
      </c>
      <c r="D40" s="34">
        <v>0</v>
      </c>
      <c r="E40" s="4" t="s">
        <v>40</v>
      </c>
      <c r="F40" s="34">
        <v>0.99998842592592596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39">
        <v>45162</v>
      </c>
    </row>
    <row r="43" spans="1:24">
      <c r="G43" s="4" t="s">
        <v>79</v>
      </c>
      <c r="H43" s="4">
        <f>SUMIF(H2:H40,"&gt;20")</f>
        <v>1473</v>
      </c>
    </row>
  </sheetData>
  <conditionalFormatting sqref="J2">
    <cfRule type="duplicateValues" dxfId="38" priority="14"/>
    <cfRule type="cellIs" dxfId="37" priority="13" operator="equal">
      <formula>-1</formula>
    </cfRule>
  </conditionalFormatting>
  <conditionalFormatting sqref="G12:R12">
    <cfRule type="cellIs" dxfId="36" priority="7" operator="equal">
      <formula>0</formula>
    </cfRule>
    <cfRule type="cellIs" dxfId="35" priority="6" operator="equal">
      <formula>0</formula>
    </cfRule>
  </conditionalFormatting>
  <conditionalFormatting sqref="S12:W12">
    <cfRule type="cellIs" dxfId="34" priority="4" operator="equal">
      <formula>0</formula>
    </cfRule>
  </conditionalFormatting>
  <conditionalFormatting sqref="G26:W26">
    <cfRule type="cellIs" dxfId="33" priority="5" operator="equal">
      <formula>0</formula>
    </cfRule>
  </conditionalFormatting>
  <conditionalFormatting sqref="G30:I30">
    <cfRule type="cellIs" dxfId="32" priority="1" operator="equal">
      <formula>-1</formula>
    </cfRule>
  </conditionalFormatting>
  <conditionalFormatting sqref="M30:W30">
    <cfRule type="cellIs" dxfId="31" priority="3" operator="equal">
      <formula>-1</formula>
    </cfRule>
  </conditionalFormatting>
  <conditionalFormatting sqref="G32:R32">
    <cfRule type="cellIs" dxfId="30" priority="9" operator="equal">
      <formula>-1</formula>
    </cfRule>
  </conditionalFormatting>
  <conditionalFormatting sqref="S32:W32">
    <cfRule type="cellIs" dxfId="29" priority="2" operator="equal">
      <formula>-1</formula>
    </cfRule>
  </conditionalFormatting>
  <conditionalFormatting sqref="A1:A1048576">
    <cfRule type="duplicateValues" dxfId="28" priority="16"/>
  </conditionalFormatting>
  <conditionalFormatting sqref="B1:B1048576">
    <cfRule type="duplicateValues" dxfId="27" priority="15"/>
  </conditionalFormatting>
  <conditionalFormatting sqref="J3:J11">
    <cfRule type="cellIs" dxfId="26" priority="12" operator="equal">
      <formula>-1</formula>
    </cfRule>
  </conditionalFormatting>
  <conditionalFormatting sqref="K2:L11">
    <cfRule type="cellIs" dxfId="25" priority="11" operator="equal">
      <formula>-1</formula>
    </cfRule>
  </conditionalFormatting>
  <conditionalFormatting sqref="J13:L25">
    <cfRule type="cellIs" dxfId="24" priority="10" operator="equal">
      <formula>-1</formula>
    </cfRule>
  </conditionalFormatting>
  <conditionalFormatting sqref="J27:L40">
    <cfRule type="cellIs" dxfId="23" priority="8" operator="equal">
      <formula>-1</formula>
    </cfRule>
  </conditionalFormatting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C12" sqref="C12"/>
    </sheetView>
  </sheetViews>
  <sheetFormatPr defaultColWidth="11" defaultRowHeight="14.4"/>
  <cols>
    <col min="1" max="1" width="8.44140625" style="4" customWidth="1"/>
    <col min="2" max="2" width="65.77734375" style="4" customWidth="1"/>
    <col min="3" max="3" width="27.5546875" style="4" customWidth="1"/>
    <col min="4" max="4" width="11" style="4"/>
    <col min="5" max="5" width="14.44140625" style="4" customWidth="1"/>
    <col min="6" max="16384" width="11" style="4"/>
  </cols>
  <sheetData>
    <row r="1" spans="1:5">
      <c r="A1" s="30" t="s">
        <v>80</v>
      </c>
      <c r="B1" s="30" t="s">
        <v>81</v>
      </c>
      <c r="C1" s="30" t="s">
        <v>82</v>
      </c>
      <c r="D1" s="4" t="s">
        <v>83</v>
      </c>
      <c r="E1" s="30" t="s">
        <v>84</v>
      </c>
    </row>
    <row r="2" spans="1:5">
      <c r="A2" s="1"/>
      <c r="B2" s="31" t="s">
        <v>85</v>
      </c>
      <c r="C2" s="1"/>
    </row>
    <row r="3" spans="1:5">
      <c r="A3" s="32">
        <v>1</v>
      </c>
      <c r="B3" s="1" t="s">
        <v>86</v>
      </c>
      <c r="C3" s="1" t="s">
        <v>87</v>
      </c>
      <c r="E3" s="4">
        <v>5</v>
      </c>
    </row>
    <row r="4" spans="1:5">
      <c r="A4" s="32">
        <v>2</v>
      </c>
      <c r="B4" s="1" t="s">
        <v>88</v>
      </c>
      <c r="C4" s="1" t="s">
        <v>89</v>
      </c>
      <c r="E4" s="4">
        <v>5</v>
      </c>
    </row>
    <row r="5" spans="1:5">
      <c r="A5" s="32">
        <v>3</v>
      </c>
      <c r="B5" s="1" t="s">
        <v>90</v>
      </c>
      <c r="C5" s="33" t="s">
        <v>91</v>
      </c>
      <c r="D5" s="4">
        <v>1473</v>
      </c>
      <c r="E5" s="4">
        <v>10</v>
      </c>
    </row>
    <row r="6" spans="1:5">
      <c r="A6" s="32">
        <v>4</v>
      </c>
      <c r="B6" s="1" t="s">
        <v>92</v>
      </c>
      <c r="C6" s="1" t="s">
        <v>89</v>
      </c>
      <c r="E6" s="4">
        <v>5</v>
      </c>
    </row>
    <row r="7" spans="1:5">
      <c r="A7" s="1"/>
      <c r="B7" s="1"/>
      <c r="C7" s="1"/>
    </row>
    <row r="13" spans="1:5">
      <c r="E13" s="1"/>
    </row>
    <row r="14" spans="1:5">
      <c r="E1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3" workbookViewId="0">
      <selection activeCell="D29" sqref="D29"/>
    </sheetView>
  </sheetViews>
  <sheetFormatPr defaultColWidth="11" defaultRowHeight="13.8"/>
  <cols>
    <col min="1" max="1" width="18.5546875" style="1" customWidth="1"/>
    <col min="2" max="6" width="15.44140625" style="1" customWidth="1"/>
    <col min="7" max="7" width="11" style="1"/>
    <col min="8" max="8" width="14.44140625" style="1" customWidth="1"/>
    <col min="9" max="16384" width="11" style="1"/>
  </cols>
  <sheetData>
    <row r="1" spans="1:7" s="3" customFormat="1" ht="21">
      <c r="A1" s="2" t="s">
        <v>9</v>
      </c>
      <c r="B1" s="3" t="s">
        <v>93</v>
      </c>
    </row>
    <row r="2" spans="1:7" s="3" customFormat="1" ht="21">
      <c r="B2" s="3" t="s">
        <v>94</v>
      </c>
    </row>
    <row r="3" spans="1:7" ht="14.4">
      <c r="A3" s="4"/>
      <c r="B3" s="4"/>
      <c r="C3" s="4"/>
      <c r="D3" s="4"/>
      <c r="E3" s="4"/>
      <c r="F3" s="4"/>
      <c r="G3" s="4"/>
    </row>
    <row r="4" spans="1:7" ht="23.4">
      <c r="A4" s="7" t="s">
        <v>95</v>
      </c>
      <c r="B4" s="4"/>
      <c r="C4" s="4"/>
      <c r="D4" s="4"/>
      <c r="E4" s="4"/>
      <c r="F4" s="4"/>
      <c r="G4" s="4"/>
    </row>
    <row r="5" spans="1:7" ht="14.4">
      <c r="A5" s="25" t="s">
        <v>14</v>
      </c>
      <c r="B5" s="26" t="s">
        <v>20</v>
      </c>
      <c r="C5" s="27" t="s">
        <v>27</v>
      </c>
      <c r="D5" s="26" t="s">
        <v>31</v>
      </c>
      <c r="E5" s="27" t="s">
        <v>33</v>
      </c>
      <c r="F5" s="28" t="s">
        <v>35</v>
      </c>
    </row>
    <row r="6" spans="1:7" ht="14.4">
      <c r="A6" s="13" t="s">
        <v>38</v>
      </c>
      <c r="B6" s="4">
        <v>2.7</v>
      </c>
      <c r="C6" s="4">
        <v>7.6</v>
      </c>
      <c r="D6" s="4">
        <v>4.2</v>
      </c>
      <c r="E6" s="4">
        <v>8.9</v>
      </c>
      <c r="F6" s="4">
        <v>4.2</v>
      </c>
    </row>
    <row r="7" spans="1:7" ht="14.4">
      <c r="A7" s="13" t="s">
        <v>41</v>
      </c>
      <c r="B7" s="4">
        <v>2.7</v>
      </c>
      <c r="C7" s="4">
        <v>7.6</v>
      </c>
      <c r="D7" s="4">
        <v>4.2</v>
      </c>
      <c r="E7" s="4">
        <v>8.9</v>
      </c>
      <c r="F7" s="4">
        <v>4.2</v>
      </c>
    </row>
    <row r="8" spans="1:7" ht="14.4">
      <c r="A8" s="13" t="s">
        <v>42</v>
      </c>
      <c r="B8" s="4">
        <v>3.6</v>
      </c>
      <c r="C8" s="4">
        <v>11.1</v>
      </c>
      <c r="D8" s="4">
        <v>5.8</v>
      </c>
      <c r="E8" s="4">
        <v>12.2</v>
      </c>
      <c r="F8" s="4">
        <v>5.8</v>
      </c>
    </row>
    <row r="9" spans="1:7" ht="14.4">
      <c r="A9" s="13" t="s">
        <v>43</v>
      </c>
      <c r="B9" s="4">
        <v>4.9000000000000004</v>
      </c>
      <c r="C9" s="4">
        <v>13.3</v>
      </c>
      <c r="D9" s="4">
        <v>8.1</v>
      </c>
      <c r="E9" s="4">
        <v>17</v>
      </c>
      <c r="F9" s="4">
        <v>8.1</v>
      </c>
    </row>
    <row r="10" spans="1:7" ht="14.4">
      <c r="A10" s="13" t="s">
        <v>46</v>
      </c>
      <c r="B10" s="4">
        <v>9.4</v>
      </c>
      <c r="C10" s="4">
        <v>28.3</v>
      </c>
      <c r="D10" s="4">
        <v>16.100000000000001</v>
      </c>
      <c r="E10" s="4">
        <v>32.799999999999997</v>
      </c>
      <c r="F10" s="4">
        <v>16.100000000000001</v>
      </c>
    </row>
    <row r="11" spans="1:7" ht="14.4">
      <c r="A11" s="13" t="s">
        <v>47</v>
      </c>
      <c r="B11" s="4">
        <v>11.6</v>
      </c>
      <c r="C11" s="4">
        <v>35.200000000000003</v>
      </c>
      <c r="D11" s="4">
        <v>21.3</v>
      </c>
      <c r="E11" s="4">
        <v>43</v>
      </c>
      <c r="F11" s="4">
        <v>21.3</v>
      </c>
    </row>
    <row r="12" spans="1:7" ht="14.4">
      <c r="A12" s="13" t="s">
        <v>49</v>
      </c>
      <c r="B12" s="4">
        <v>18.399999999999999</v>
      </c>
      <c r="C12" s="4">
        <v>55.6</v>
      </c>
      <c r="D12" s="4">
        <v>33.799999999999997</v>
      </c>
      <c r="E12" s="4">
        <v>67.900000000000006</v>
      </c>
      <c r="F12" s="4">
        <v>33.799999999999997</v>
      </c>
    </row>
    <row r="13" spans="1:7" ht="14.4">
      <c r="A13" s="13" t="s">
        <v>50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</row>
    <row r="14" spans="1:7" ht="14.4">
      <c r="A14" s="13" t="s">
        <v>51</v>
      </c>
      <c r="B14" s="4">
        <v>21.9</v>
      </c>
      <c r="C14" s="4">
        <v>61.5</v>
      </c>
      <c r="D14" s="4">
        <v>40.1</v>
      </c>
      <c r="E14" s="4">
        <v>76.599999999999994</v>
      </c>
      <c r="F14" s="4">
        <v>40.1</v>
      </c>
    </row>
    <row r="15" spans="1:7" ht="14.4">
      <c r="A15" s="13" t="s">
        <v>53</v>
      </c>
      <c r="B15" s="4">
        <v>26.8</v>
      </c>
      <c r="C15" s="4">
        <v>79.599999999999994</v>
      </c>
      <c r="D15" s="4">
        <v>47.9</v>
      </c>
      <c r="E15" s="4">
        <v>96.8</v>
      </c>
      <c r="F15" s="4">
        <v>47.9</v>
      </c>
    </row>
    <row r="16" spans="1:7" ht="14.4">
      <c r="A16" s="13" t="s">
        <v>55</v>
      </c>
      <c r="B16" s="4">
        <v>28.5</v>
      </c>
      <c r="C16" s="4">
        <v>85.4</v>
      </c>
      <c r="D16" s="4">
        <v>52.3</v>
      </c>
      <c r="E16" s="4">
        <v>106.1</v>
      </c>
      <c r="F16" s="4">
        <v>52.3</v>
      </c>
    </row>
    <row r="17" spans="1:6" ht="14.4">
      <c r="A17" s="13" t="s">
        <v>57</v>
      </c>
      <c r="B17" s="4">
        <v>30.7</v>
      </c>
      <c r="C17" s="4">
        <v>30.7</v>
      </c>
      <c r="D17" s="4">
        <v>57</v>
      </c>
      <c r="E17" s="4">
        <v>115.1</v>
      </c>
      <c r="F17" s="4">
        <v>57</v>
      </c>
    </row>
    <row r="18" spans="1:6" ht="14.4">
      <c r="A18" s="13" t="s">
        <v>58</v>
      </c>
      <c r="B18" s="4">
        <v>33.799999999999997</v>
      </c>
      <c r="C18" s="4">
        <v>33.799999999999997</v>
      </c>
      <c r="D18" s="4">
        <v>61.4</v>
      </c>
      <c r="E18" s="4">
        <v>124.4</v>
      </c>
      <c r="F18" s="4">
        <v>61.4</v>
      </c>
    </row>
    <row r="19" spans="1:6" ht="14.4">
      <c r="A19" s="13" t="s">
        <v>59</v>
      </c>
      <c r="B19" s="4">
        <v>34.700000000000003</v>
      </c>
      <c r="C19" s="4">
        <v>34.700000000000003</v>
      </c>
      <c r="D19" s="4">
        <v>63.6</v>
      </c>
      <c r="E19" s="4">
        <v>128.6</v>
      </c>
      <c r="F19" s="4">
        <v>63.6</v>
      </c>
    </row>
    <row r="20" spans="1:6" ht="14.4">
      <c r="A20" s="13" t="s">
        <v>64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</row>
    <row r="21" spans="1:6" ht="14.4">
      <c r="A21" s="13" t="s">
        <v>65</v>
      </c>
      <c r="B21" s="4">
        <v>41.3</v>
      </c>
      <c r="C21" s="4">
        <v>124.4</v>
      </c>
      <c r="D21" s="4">
        <v>75</v>
      </c>
      <c r="E21" s="4">
        <v>151.5</v>
      </c>
      <c r="F21" s="4">
        <v>75</v>
      </c>
    </row>
    <row r="22" spans="1:6" ht="14.4">
      <c r="A22" s="13" t="s">
        <v>68</v>
      </c>
      <c r="B22" s="4">
        <v>-1</v>
      </c>
      <c r="C22" s="4">
        <v>-1</v>
      </c>
      <c r="D22" s="4">
        <v>-1</v>
      </c>
      <c r="E22" s="4">
        <v>-1</v>
      </c>
      <c r="F22" s="4">
        <v>-1</v>
      </c>
    </row>
    <row r="23" spans="1:6" ht="14.4">
      <c r="A23" s="13" t="s">
        <v>69</v>
      </c>
      <c r="B23" s="4">
        <v>45</v>
      </c>
      <c r="C23" s="4">
        <v>133.4</v>
      </c>
      <c r="D23" s="4">
        <v>79.400000000000006</v>
      </c>
      <c r="E23" s="4">
        <v>160.9</v>
      </c>
      <c r="F23" s="4">
        <v>79.400000000000006</v>
      </c>
    </row>
    <row r="24" spans="1:6" ht="14.4">
      <c r="A24" s="13" t="s">
        <v>70</v>
      </c>
      <c r="B24" s="4">
        <v>-1</v>
      </c>
      <c r="C24" s="4">
        <v>-1</v>
      </c>
      <c r="D24" s="4">
        <v>-1</v>
      </c>
      <c r="E24" s="4">
        <v>-1</v>
      </c>
      <c r="F24" s="4">
        <v>-1</v>
      </c>
    </row>
    <row r="25" spans="1:6" ht="14.4">
      <c r="A25" s="13" t="s">
        <v>72</v>
      </c>
      <c r="B25" s="4">
        <v>43.3</v>
      </c>
      <c r="C25" s="4">
        <v>128.6</v>
      </c>
      <c r="D25" s="4">
        <v>79.400000000000006</v>
      </c>
      <c r="E25" s="4">
        <v>160.9</v>
      </c>
      <c r="F25" s="4">
        <v>79.400000000000006</v>
      </c>
    </row>
    <row r="26" spans="1:6" ht="14.4">
      <c r="A26" s="13" t="s">
        <v>76</v>
      </c>
      <c r="B26" s="4">
        <v>49.1</v>
      </c>
      <c r="C26" s="4">
        <v>146.80000000000001</v>
      </c>
      <c r="D26" s="4">
        <v>90.9</v>
      </c>
      <c r="E26" s="4">
        <v>183.5</v>
      </c>
      <c r="F26" s="4">
        <v>90.9</v>
      </c>
    </row>
    <row r="27" spans="1:6" ht="14.4">
      <c r="A27" s="13" t="s">
        <v>78</v>
      </c>
      <c r="B27" s="4">
        <v>51.8</v>
      </c>
      <c r="C27" s="4">
        <v>156.4</v>
      </c>
      <c r="D27" s="4">
        <v>93.1</v>
      </c>
      <c r="E27" s="4">
        <v>188.1</v>
      </c>
      <c r="F27" s="4">
        <v>93.1</v>
      </c>
    </row>
    <row r="28" spans="1:6" ht="14.4">
      <c r="A28" s="19" t="s">
        <v>96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4.4">
      <c r="A29" s="19" t="s">
        <v>97</v>
      </c>
      <c r="B29" s="29">
        <f>MAX(B6:B27)</f>
        <v>51.8</v>
      </c>
      <c r="C29" s="29">
        <f t="shared" ref="C29:F29" si="0">MAX(C6:C27)</f>
        <v>156.4</v>
      </c>
      <c r="D29" s="29">
        <f t="shared" si="0"/>
        <v>93.1</v>
      </c>
      <c r="E29" s="29">
        <f t="shared" si="0"/>
        <v>188.1</v>
      </c>
      <c r="F29" s="29">
        <f t="shared" si="0"/>
        <v>93.1</v>
      </c>
    </row>
    <row r="30" spans="1:6" ht="14.4">
      <c r="A30" s="19" t="s">
        <v>98</v>
      </c>
      <c r="B30" s="29">
        <f>AVERAGE(B6:B27)</f>
        <v>20.8272727272727</v>
      </c>
      <c r="C30" s="29">
        <f t="shared" ref="C30:F30" si="1">AVERAGE(C6:C27)</f>
        <v>53.272727272727302</v>
      </c>
      <c r="D30" s="29">
        <f t="shared" si="1"/>
        <v>37.799999999999997</v>
      </c>
      <c r="E30" s="29">
        <f t="shared" si="1"/>
        <v>76.418181818181793</v>
      </c>
      <c r="F30" s="29">
        <f t="shared" si="1"/>
        <v>37.799999999999997</v>
      </c>
    </row>
  </sheetData>
  <conditionalFormatting sqref="B13">
    <cfRule type="cellIs" dxfId="22" priority="22" operator="equal">
      <formula>0</formula>
    </cfRule>
    <cfRule type="cellIs" dxfId="21" priority="23" operator="equal">
      <formula>0</formula>
    </cfRule>
  </conditionalFormatting>
  <conditionalFormatting sqref="C13">
    <cfRule type="cellIs" dxfId="20" priority="20" operator="equal">
      <formula>0</formula>
    </cfRule>
    <cfRule type="cellIs" dxfId="19" priority="21" operator="equal">
      <formula>0</formula>
    </cfRule>
  </conditionalFormatting>
  <conditionalFormatting sqref="D13">
    <cfRule type="cellIs" dxfId="18" priority="18" operator="equal">
      <formula>0</formula>
    </cfRule>
    <cfRule type="cellIs" dxfId="17" priority="19" operator="equal">
      <formula>0</formula>
    </cfRule>
  </conditionalFormatting>
  <conditionalFormatting sqref="E13">
    <cfRule type="cellIs" dxfId="16" priority="17" operator="equal">
      <formula>0</formula>
    </cfRule>
  </conditionalFormatting>
  <conditionalFormatting sqref="F13">
    <cfRule type="cellIs" dxfId="15" priority="16" operator="equal">
      <formula>0</formula>
    </cfRule>
  </conditionalFormatting>
  <conditionalFormatting sqref="B20">
    <cfRule type="cellIs" dxfId="14" priority="15" operator="equal">
      <formula>0</formula>
    </cfRule>
  </conditionalFormatting>
  <conditionalFormatting sqref="C20">
    <cfRule type="cellIs" dxfId="13" priority="14" operator="equal">
      <formula>0</formula>
    </cfRule>
  </conditionalFormatting>
  <conditionalFormatting sqref="D20">
    <cfRule type="cellIs" dxfId="12" priority="13" operator="equal">
      <formula>0</formula>
    </cfRule>
  </conditionalFormatting>
  <conditionalFormatting sqref="E20">
    <cfRule type="cellIs" dxfId="11" priority="12" operator="equal">
      <formula>0</formula>
    </cfRule>
  </conditionalFormatting>
  <conditionalFormatting sqref="F20">
    <cfRule type="cellIs" dxfId="10" priority="11" operator="equal">
      <formula>0</formula>
    </cfRule>
  </conditionalFormatting>
  <conditionalFormatting sqref="B22">
    <cfRule type="cellIs" dxfId="9" priority="9" operator="equal">
      <formula>-1</formula>
    </cfRule>
  </conditionalFormatting>
  <conditionalFormatting sqref="C22">
    <cfRule type="cellIs" dxfId="8" priority="7" operator="equal">
      <formula>-1</formula>
    </cfRule>
  </conditionalFormatting>
  <conditionalFormatting sqref="D22">
    <cfRule type="cellIs" dxfId="7" priority="5" operator="equal">
      <formula>-1</formula>
    </cfRule>
  </conditionalFormatting>
  <conditionalFormatting sqref="E22">
    <cfRule type="cellIs" dxfId="6" priority="4" operator="equal">
      <formula>-1</formula>
    </cfRule>
  </conditionalFormatting>
  <conditionalFormatting sqref="F22">
    <cfRule type="cellIs" dxfId="5" priority="2" operator="equal">
      <formula>-1</formula>
    </cfRule>
  </conditionalFormatting>
  <conditionalFormatting sqref="B24">
    <cfRule type="cellIs" dxfId="4" priority="10" operator="equal">
      <formula>-1</formula>
    </cfRule>
  </conditionalFormatting>
  <conditionalFormatting sqref="C24">
    <cfRule type="cellIs" dxfId="3" priority="8" operator="equal">
      <formula>-1</formula>
    </cfRule>
  </conditionalFormatting>
  <conditionalFormatting sqref="D24">
    <cfRule type="cellIs" dxfId="2" priority="6" operator="equal">
      <formula>-1</formula>
    </cfRule>
  </conditionalFormatting>
  <conditionalFormatting sqref="E24">
    <cfRule type="cellIs" dxfId="1" priority="3" operator="equal">
      <formula>-1</formula>
    </cfRule>
  </conditionalFormatting>
  <conditionalFormatting sqref="F24">
    <cfRule type="cellIs" dxfId="0" priority="1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3" workbookViewId="0">
      <selection activeCell="C52" sqref="C52"/>
    </sheetView>
  </sheetViews>
  <sheetFormatPr defaultColWidth="11" defaultRowHeight="14.4"/>
  <cols>
    <col min="1" max="1" width="39.77734375" style="4" customWidth="1"/>
    <col min="2" max="16384" width="11" style="4"/>
  </cols>
  <sheetData>
    <row r="1" spans="1:10" s="3" customFormat="1" ht="21">
      <c r="A1" s="2" t="s">
        <v>10</v>
      </c>
      <c r="B1" s="3" t="s">
        <v>99</v>
      </c>
    </row>
    <row r="2" spans="1:10" customFormat="1" ht="13.2"/>
    <row r="3" spans="1:10" s="1" customFormat="1">
      <c r="B3" s="4"/>
    </row>
    <row r="4" spans="1:10" s="1" customFormat="1">
      <c r="B4" s="4" t="s">
        <v>100</v>
      </c>
    </row>
    <row r="5" spans="1:10" ht="18">
      <c r="A5" s="5" t="s">
        <v>101</v>
      </c>
      <c r="B5" s="20"/>
    </row>
    <row r="6" spans="1:10" ht="18">
      <c r="A6" s="5" t="s">
        <v>102</v>
      </c>
      <c r="B6" s="20"/>
    </row>
    <row r="7" spans="1:10" ht="18">
      <c r="A7" s="5"/>
      <c r="B7" s="20"/>
    </row>
    <row r="9" spans="1:10" ht="23.4">
      <c r="A9" s="7" t="s">
        <v>103</v>
      </c>
      <c r="I9" s="1"/>
      <c r="J9" s="1"/>
    </row>
    <row r="10" spans="1:10">
      <c r="A10" s="22" t="s">
        <v>104</v>
      </c>
      <c r="B10" s="11" t="s">
        <v>105</v>
      </c>
      <c r="C10" s="11" t="s">
        <v>106</v>
      </c>
      <c r="D10" s="11" t="s">
        <v>107</v>
      </c>
      <c r="E10" s="11" t="s">
        <v>108</v>
      </c>
      <c r="F10" s="11" t="s">
        <v>109</v>
      </c>
      <c r="I10" s="1"/>
      <c r="J10" s="1"/>
    </row>
    <row r="11" spans="1:10">
      <c r="A11" s="16" t="s">
        <v>110</v>
      </c>
      <c r="B11" s="17">
        <v>20000</v>
      </c>
      <c r="C11" s="17" t="s">
        <v>39</v>
      </c>
      <c r="D11" s="17">
        <v>0</v>
      </c>
      <c r="E11" s="23" t="s">
        <v>40</v>
      </c>
      <c r="F11" s="23">
        <v>24</v>
      </c>
      <c r="I11" s="1"/>
      <c r="J11" s="1"/>
    </row>
    <row r="14" spans="1:10" ht="23.4">
      <c r="A14" s="7" t="s">
        <v>95</v>
      </c>
    </row>
    <row r="15" spans="1:10">
      <c r="A15" s="10" t="s">
        <v>111</v>
      </c>
      <c r="B15" s="11" t="s">
        <v>105</v>
      </c>
      <c r="C15" s="24" t="s">
        <v>106</v>
      </c>
      <c r="D15" s="11" t="s">
        <v>107</v>
      </c>
      <c r="E15" s="24" t="s">
        <v>108</v>
      </c>
      <c r="F15" s="11" t="s">
        <v>109</v>
      </c>
    </row>
    <row r="16" spans="1:10">
      <c r="A16" s="13" t="s">
        <v>110</v>
      </c>
      <c r="B16" s="14" t="str">
        <f>LEFT(A16,FIND("-",A16)-1)</f>
        <v>20000</v>
      </c>
      <c r="C16" t="str">
        <f>MID(A16,FIND("-",A16)+1,FIND("-",A16,FIND("-",A16)+1)-FIND("-",A16)-1)</f>
        <v>Monday</v>
      </c>
      <c r="D16" s="14" t="str">
        <f>MID(A16,FIND("-",A16,FIND("-",A16)+1)+1,FIND("-",A16,FIND("-",A16,FIND("-",A16)+1)+1)-FIND("-",A16,FIND("-",A16)+1)-1)</f>
        <v>0</v>
      </c>
      <c r="E16" s="14" t="str">
        <f>MID(A16,FIND("-",A16,FIND("-",A16,FIND("-",A16)+1)+1)+1,FIND("-",A16,FIND("-",A16,FIND("-",A16,FIND("-",A16)+1)+1)+1)-FIND("-",A16,FIND("-",A16,FIND("-",A16)+1)+1)-1)</f>
        <v>Sunday</v>
      </c>
      <c r="F16" t="str">
        <f>RIGHT(A16,LEN(A16)-FIND("-",A16,FIND("-",A16,FIND("-",A16,FIND("-",A16)+1)+1)+1))</f>
        <v>24</v>
      </c>
    </row>
    <row r="17" spans="1:6">
      <c r="A17" s="13" t="s">
        <v>112</v>
      </c>
      <c r="B17" s="14" t="str">
        <f t="shared" ref="B17:B54" si="0">LEFT(A17,FIND("-",A17)-1)</f>
        <v>20002</v>
      </c>
      <c r="C17" t="str">
        <f t="shared" ref="C17:C54" si="1">MID(A17,FIND("-",A17)+1,FIND("-",A17,FIND("-",A17)+1)-FIND("-",A17)-1)</f>
        <v>Monday</v>
      </c>
      <c r="D17" s="14" t="str">
        <f t="shared" ref="D17:D54" si="2">MID(A17,FIND("-",A17,FIND("-",A17)+1)+1,FIND("-",A17,FIND("-",A17,FIND("-",A17)+1)+1)-FIND("-",A17,FIND("-",A17)+1)-1)</f>
        <v>0</v>
      </c>
      <c r="E17" s="14" t="str">
        <f t="shared" ref="E17:E54" si="3">MID(A17,FIND("-",A17,FIND("-",A17,FIND("-",A17)+1)+1)+1,FIND("-",A17,FIND("-",A17,FIND("-",A17,FIND("-",A17)+1)+1)+1)-FIND("-",A17,FIND("-",A17,FIND("-",A17)+1)+1)-1)</f>
        <v>Sunday</v>
      </c>
      <c r="F17" t="str">
        <f t="shared" ref="F17:F54" si="4">RIGHT(A17,LEN(A17)-FIND("-",A17,FIND("-",A17,FIND("-",A17,FIND("-",A17)+1)+1)+1))</f>
        <v>24</v>
      </c>
    </row>
    <row r="18" spans="1:6">
      <c r="A18" s="13" t="s">
        <v>113</v>
      </c>
      <c r="B18" s="14" t="str">
        <f t="shared" si="0"/>
        <v>20004</v>
      </c>
      <c r="C18" t="str">
        <f t="shared" si="1"/>
        <v>Monday</v>
      </c>
      <c r="D18" s="14" t="str">
        <f t="shared" si="2"/>
        <v>0</v>
      </c>
      <c r="E18" s="14" t="str">
        <f t="shared" si="3"/>
        <v>Sunday</v>
      </c>
      <c r="F18" t="str">
        <f t="shared" si="4"/>
        <v>24</v>
      </c>
    </row>
    <row r="19" spans="1:6">
      <c r="A19" s="13" t="s">
        <v>114</v>
      </c>
      <c r="B19" s="14" t="str">
        <f t="shared" si="0"/>
        <v>20006</v>
      </c>
      <c r="C19" t="str">
        <f t="shared" si="1"/>
        <v>Monday</v>
      </c>
      <c r="D19" s="14" t="str">
        <f t="shared" si="2"/>
        <v>0</v>
      </c>
      <c r="E19" s="14" t="str">
        <f t="shared" si="3"/>
        <v>Sunday</v>
      </c>
      <c r="F19" t="str">
        <f t="shared" si="4"/>
        <v>24</v>
      </c>
    </row>
    <row r="20" spans="1:6">
      <c r="A20" s="13" t="s">
        <v>115</v>
      </c>
      <c r="B20" s="14" t="str">
        <f t="shared" si="0"/>
        <v>20008</v>
      </c>
      <c r="C20" t="str">
        <f t="shared" si="1"/>
        <v>Monday</v>
      </c>
      <c r="D20" s="14" t="str">
        <f t="shared" si="2"/>
        <v>0</v>
      </c>
      <c r="E20" s="14" t="str">
        <f t="shared" si="3"/>
        <v>Sunday</v>
      </c>
      <c r="F20" t="str">
        <f t="shared" si="4"/>
        <v>24</v>
      </c>
    </row>
    <row r="21" spans="1:6">
      <c r="A21" s="13" t="s">
        <v>116</v>
      </c>
      <c r="B21" s="14" t="str">
        <f t="shared" si="0"/>
        <v>20010</v>
      </c>
      <c r="C21" t="str">
        <f t="shared" si="1"/>
        <v>Monday</v>
      </c>
      <c r="D21" s="14" t="str">
        <f t="shared" si="2"/>
        <v>0</v>
      </c>
      <c r="E21" s="14" t="str">
        <f t="shared" si="3"/>
        <v>Sunday</v>
      </c>
      <c r="F21" t="str">
        <f t="shared" si="4"/>
        <v>24</v>
      </c>
    </row>
    <row r="22" spans="1:6">
      <c r="A22" s="13" t="s">
        <v>117</v>
      </c>
      <c r="B22" s="14" t="str">
        <f t="shared" si="0"/>
        <v>20012</v>
      </c>
      <c r="C22" t="str">
        <f t="shared" si="1"/>
        <v>Monday</v>
      </c>
      <c r="D22" s="14" t="str">
        <f t="shared" si="2"/>
        <v>0</v>
      </c>
      <c r="E22" s="14" t="str">
        <f t="shared" si="3"/>
        <v>Sunday</v>
      </c>
      <c r="F22" t="str">
        <f t="shared" si="4"/>
        <v>24</v>
      </c>
    </row>
    <row r="23" spans="1:6">
      <c r="A23" s="13" t="s">
        <v>118</v>
      </c>
      <c r="B23" s="14" t="str">
        <f t="shared" si="0"/>
        <v>20014</v>
      </c>
      <c r="C23" t="str">
        <f t="shared" si="1"/>
        <v>Monday</v>
      </c>
      <c r="D23" s="14" t="str">
        <f t="shared" si="2"/>
        <v>0</v>
      </c>
      <c r="E23" s="14" t="str">
        <f t="shared" si="3"/>
        <v>Sunday</v>
      </c>
      <c r="F23" t="str">
        <f t="shared" si="4"/>
        <v>24</v>
      </c>
    </row>
    <row r="24" spans="1:6">
      <c r="A24" s="13" t="s">
        <v>119</v>
      </c>
      <c r="B24" s="14" t="str">
        <f t="shared" si="0"/>
        <v>20016</v>
      </c>
      <c r="C24" t="str">
        <f t="shared" si="1"/>
        <v>Monday</v>
      </c>
      <c r="D24" s="14" t="str">
        <f t="shared" si="2"/>
        <v>0</v>
      </c>
      <c r="E24" s="14" t="str">
        <f t="shared" si="3"/>
        <v>Sunday</v>
      </c>
      <c r="F24" t="str">
        <f t="shared" si="4"/>
        <v>24</v>
      </c>
    </row>
    <row r="25" spans="1:6">
      <c r="A25" s="13" t="s">
        <v>120</v>
      </c>
      <c r="B25" s="14" t="str">
        <f t="shared" si="0"/>
        <v>20018</v>
      </c>
      <c r="C25" t="str">
        <f t="shared" si="1"/>
        <v>Monday</v>
      </c>
      <c r="D25" s="14" t="str">
        <f t="shared" si="2"/>
        <v>0</v>
      </c>
      <c r="E25" s="14" t="str">
        <f t="shared" si="3"/>
        <v>Sunday</v>
      </c>
      <c r="F25" t="str">
        <f t="shared" si="4"/>
        <v>24</v>
      </c>
    </row>
    <row r="26" spans="1:6">
      <c r="A26" s="13" t="s">
        <v>121</v>
      </c>
      <c r="B26" s="14" t="str">
        <f t="shared" si="0"/>
        <v>20020</v>
      </c>
      <c r="C26" t="str">
        <f t="shared" si="1"/>
        <v>Monday</v>
      </c>
      <c r="D26" s="14" t="str">
        <f t="shared" si="2"/>
        <v>0</v>
      </c>
      <c r="E26" s="14" t="str">
        <f t="shared" si="3"/>
        <v>Sunday</v>
      </c>
      <c r="F26" t="str">
        <f t="shared" si="4"/>
        <v>24</v>
      </c>
    </row>
    <row r="27" spans="1:6">
      <c r="A27" s="13" t="s">
        <v>122</v>
      </c>
      <c r="B27" s="14" t="str">
        <f t="shared" si="0"/>
        <v>20022</v>
      </c>
      <c r="C27" t="str">
        <f t="shared" si="1"/>
        <v>Monday</v>
      </c>
      <c r="D27" s="14" t="str">
        <f t="shared" si="2"/>
        <v>0</v>
      </c>
      <c r="E27" s="14" t="str">
        <f t="shared" si="3"/>
        <v>Sunday</v>
      </c>
      <c r="F27" t="str">
        <f t="shared" si="4"/>
        <v>24</v>
      </c>
    </row>
    <row r="28" spans="1:6">
      <c r="A28" s="13" t="s">
        <v>123</v>
      </c>
      <c r="B28" s="14" t="str">
        <f t="shared" si="0"/>
        <v>20024</v>
      </c>
      <c r="C28" t="str">
        <f t="shared" si="1"/>
        <v>Monday</v>
      </c>
      <c r="D28" s="14" t="str">
        <f t="shared" si="2"/>
        <v>0</v>
      </c>
      <c r="E28" s="14" t="str">
        <f t="shared" si="3"/>
        <v>Sunday</v>
      </c>
      <c r="F28" t="str">
        <f t="shared" si="4"/>
        <v>24</v>
      </c>
    </row>
    <row r="29" spans="1:6">
      <c r="A29" s="13" t="s">
        <v>124</v>
      </c>
      <c r="B29" s="14" t="str">
        <f t="shared" si="0"/>
        <v>20026</v>
      </c>
      <c r="C29" t="str">
        <f t="shared" si="1"/>
        <v>Monday</v>
      </c>
      <c r="D29" s="14" t="str">
        <f t="shared" si="2"/>
        <v>0</v>
      </c>
      <c r="E29" s="14" t="str">
        <f t="shared" si="3"/>
        <v>Sunday</v>
      </c>
      <c r="F29" t="str">
        <f t="shared" si="4"/>
        <v>24</v>
      </c>
    </row>
    <row r="30" spans="1:6">
      <c r="A30" s="13" t="s">
        <v>125</v>
      </c>
      <c r="B30" s="14" t="str">
        <f t="shared" si="0"/>
        <v>20028</v>
      </c>
      <c r="C30" t="str">
        <f t="shared" si="1"/>
        <v>Monday</v>
      </c>
      <c r="D30" s="14" t="str">
        <f t="shared" si="2"/>
        <v>0</v>
      </c>
      <c r="E30" s="14" t="str">
        <f t="shared" si="3"/>
        <v>Sunday</v>
      </c>
      <c r="F30" t="str">
        <f t="shared" si="4"/>
        <v>24</v>
      </c>
    </row>
    <row r="31" spans="1:6">
      <c r="A31" s="13" t="s">
        <v>126</v>
      </c>
      <c r="B31" s="14" t="str">
        <f t="shared" si="0"/>
        <v>20030</v>
      </c>
      <c r="C31" t="str">
        <f t="shared" si="1"/>
        <v>Monday</v>
      </c>
      <c r="D31" s="14" t="str">
        <f t="shared" si="2"/>
        <v>0</v>
      </c>
      <c r="E31" s="14" t="str">
        <f t="shared" si="3"/>
        <v>Sunday</v>
      </c>
      <c r="F31" t="str">
        <f t="shared" si="4"/>
        <v>24</v>
      </c>
    </row>
    <row r="32" spans="1:6">
      <c r="A32" s="13" t="s">
        <v>127</v>
      </c>
      <c r="B32" s="14" t="str">
        <f t="shared" si="0"/>
        <v>20032</v>
      </c>
      <c r="C32" t="str">
        <f t="shared" si="1"/>
        <v>Monday</v>
      </c>
      <c r="D32" s="14" t="str">
        <f t="shared" si="2"/>
        <v>0</v>
      </c>
      <c r="E32" s="14" t="str">
        <f t="shared" si="3"/>
        <v>Sunday</v>
      </c>
      <c r="F32" t="str">
        <f t="shared" si="4"/>
        <v>24</v>
      </c>
    </row>
    <row r="33" spans="1:6">
      <c r="A33" s="13" t="s">
        <v>128</v>
      </c>
      <c r="B33" s="14" t="str">
        <f t="shared" si="0"/>
        <v>20034</v>
      </c>
      <c r="C33" t="str">
        <f t="shared" si="1"/>
        <v>Monday</v>
      </c>
      <c r="D33" s="14" t="str">
        <f t="shared" si="2"/>
        <v>0</v>
      </c>
      <c r="E33" s="14" t="str">
        <f t="shared" si="3"/>
        <v>Sunday</v>
      </c>
      <c r="F33" t="str">
        <f t="shared" si="4"/>
        <v>24</v>
      </c>
    </row>
    <row r="34" spans="1:6">
      <c r="A34" s="13" t="s">
        <v>129</v>
      </c>
      <c r="B34" s="14" t="str">
        <f t="shared" si="0"/>
        <v>20036</v>
      </c>
      <c r="C34" t="str">
        <f t="shared" si="1"/>
        <v>Monday</v>
      </c>
      <c r="D34" s="14" t="str">
        <f t="shared" si="2"/>
        <v>0</v>
      </c>
      <c r="E34" s="14" t="str">
        <f t="shared" si="3"/>
        <v>Sunday</v>
      </c>
      <c r="F34" t="str">
        <f t="shared" si="4"/>
        <v>24</v>
      </c>
    </row>
    <row r="35" spans="1:6">
      <c r="A35" s="13" t="s">
        <v>130</v>
      </c>
      <c r="B35" s="14" t="str">
        <f t="shared" si="0"/>
        <v>20038</v>
      </c>
      <c r="C35" t="str">
        <f t="shared" si="1"/>
        <v>Monday</v>
      </c>
      <c r="D35" s="14" t="str">
        <f t="shared" si="2"/>
        <v>0</v>
      </c>
      <c r="E35" s="14" t="str">
        <f t="shared" si="3"/>
        <v>Sunday</v>
      </c>
      <c r="F35" t="str">
        <f t="shared" si="4"/>
        <v>24</v>
      </c>
    </row>
    <row r="36" spans="1:6">
      <c r="A36" s="13" t="s">
        <v>131</v>
      </c>
      <c r="B36" s="14" t="str">
        <f t="shared" si="0"/>
        <v>20040</v>
      </c>
      <c r="C36" t="str">
        <f t="shared" si="1"/>
        <v>Monday</v>
      </c>
      <c r="D36" s="14" t="str">
        <f t="shared" si="2"/>
        <v>0</v>
      </c>
      <c r="E36" s="14" t="str">
        <f t="shared" si="3"/>
        <v>Sunday</v>
      </c>
      <c r="F36" t="str">
        <f t="shared" si="4"/>
        <v>24</v>
      </c>
    </row>
    <row r="37" spans="1:6">
      <c r="A37" s="13" t="s">
        <v>132</v>
      </c>
      <c r="B37" s="14" t="str">
        <f t="shared" si="0"/>
        <v>20042</v>
      </c>
      <c r="C37" t="str">
        <f t="shared" si="1"/>
        <v>Monday</v>
      </c>
      <c r="D37" s="14" t="str">
        <f t="shared" si="2"/>
        <v>0</v>
      </c>
      <c r="E37" s="14" t="str">
        <f t="shared" si="3"/>
        <v>Sunday</v>
      </c>
      <c r="F37" t="str">
        <f t="shared" si="4"/>
        <v>24</v>
      </c>
    </row>
    <row r="38" spans="1:6">
      <c r="A38" s="13" t="s">
        <v>133</v>
      </c>
      <c r="B38" s="14" t="str">
        <f t="shared" si="0"/>
        <v>20044</v>
      </c>
      <c r="C38" t="str">
        <f t="shared" si="1"/>
        <v>Monday</v>
      </c>
      <c r="D38" s="14" t="str">
        <f t="shared" si="2"/>
        <v>0</v>
      </c>
      <c r="E38" s="14" t="str">
        <f t="shared" si="3"/>
        <v>Sunday</v>
      </c>
      <c r="F38" t="str">
        <f t="shared" si="4"/>
        <v>24</v>
      </c>
    </row>
    <row r="39" spans="1:6">
      <c r="A39" s="13" t="s">
        <v>134</v>
      </c>
      <c r="B39" s="14" t="str">
        <f t="shared" si="0"/>
        <v>20046</v>
      </c>
      <c r="C39" t="str">
        <f t="shared" si="1"/>
        <v>Monday</v>
      </c>
      <c r="D39" s="14" t="str">
        <f t="shared" si="2"/>
        <v>0</v>
      </c>
      <c r="E39" s="14" t="str">
        <f t="shared" si="3"/>
        <v>Sunday</v>
      </c>
      <c r="F39" t="str">
        <f t="shared" si="4"/>
        <v>24</v>
      </c>
    </row>
    <row r="40" spans="1:6">
      <c r="A40" s="13" t="s">
        <v>135</v>
      </c>
      <c r="B40" s="14" t="str">
        <f t="shared" si="0"/>
        <v>20048</v>
      </c>
      <c r="C40" t="str">
        <f t="shared" si="1"/>
        <v>Monday</v>
      </c>
      <c r="D40" s="14" t="str">
        <f t="shared" si="2"/>
        <v>0</v>
      </c>
      <c r="E40" s="14" t="str">
        <f t="shared" si="3"/>
        <v>Sunday</v>
      </c>
      <c r="F40" t="str">
        <f t="shared" si="4"/>
        <v>24</v>
      </c>
    </row>
    <row r="41" spans="1:6">
      <c r="A41" s="13" t="s">
        <v>136</v>
      </c>
      <c r="B41" s="14" t="str">
        <f t="shared" si="0"/>
        <v>20050</v>
      </c>
      <c r="C41" t="str">
        <f t="shared" si="1"/>
        <v>Monday</v>
      </c>
      <c r="D41" s="14" t="str">
        <f t="shared" si="2"/>
        <v>0</v>
      </c>
      <c r="E41" s="14" t="str">
        <f t="shared" si="3"/>
        <v>Sunday</v>
      </c>
      <c r="F41" t="str">
        <f t="shared" si="4"/>
        <v>24</v>
      </c>
    </row>
    <row r="42" spans="1:6">
      <c r="A42" s="13" t="s">
        <v>137</v>
      </c>
      <c r="B42" s="14" t="str">
        <f t="shared" si="0"/>
        <v>20052</v>
      </c>
      <c r="C42" t="str">
        <f t="shared" si="1"/>
        <v>Monday</v>
      </c>
      <c r="D42" s="14" t="str">
        <f t="shared" si="2"/>
        <v>0</v>
      </c>
      <c r="E42" s="14" t="str">
        <f t="shared" si="3"/>
        <v>Sunday</v>
      </c>
      <c r="F42" t="str">
        <f t="shared" si="4"/>
        <v>24</v>
      </c>
    </row>
    <row r="43" spans="1:6">
      <c r="A43" s="13" t="s">
        <v>138</v>
      </c>
      <c r="B43" s="14" t="str">
        <f t="shared" si="0"/>
        <v>20054</v>
      </c>
      <c r="C43" t="str">
        <f t="shared" si="1"/>
        <v>Monday</v>
      </c>
      <c r="D43" s="14" t="str">
        <f t="shared" si="2"/>
        <v>0</v>
      </c>
      <c r="E43" s="14" t="str">
        <f t="shared" si="3"/>
        <v>Sunday</v>
      </c>
      <c r="F43" t="str">
        <f t="shared" si="4"/>
        <v>24</v>
      </c>
    </row>
    <row r="44" spans="1:6">
      <c r="A44" s="13" t="s">
        <v>139</v>
      </c>
      <c r="B44" s="14" t="str">
        <f t="shared" si="0"/>
        <v>20058</v>
      </c>
      <c r="C44" t="str">
        <f t="shared" si="1"/>
        <v>Monday</v>
      </c>
      <c r="D44" s="14" t="str">
        <f t="shared" si="2"/>
        <v>0</v>
      </c>
      <c r="E44" s="14" t="str">
        <f t="shared" si="3"/>
        <v>Sunday</v>
      </c>
      <c r="F44" t="str">
        <f t="shared" si="4"/>
        <v>24</v>
      </c>
    </row>
    <row r="45" spans="1:6">
      <c r="A45" s="13" t="s">
        <v>140</v>
      </c>
      <c r="B45" s="14" t="str">
        <f t="shared" si="0"/>
        <v>20060</v>
      </c>
      <c r="C45" t="str">
        <f t="shared" si="1"/>
        <v>Monday</v>
      </c>
      <c r="D45" s="14" t="str">
        <f t="shared" si="2"/>
        <v>0</v>
      </c>
      <c r="E45" s="14" t="str">
        <f t="shared" si="3"/>
        <v>Sunday</v>
      </c>
      <c r="F45" t="str">
        <f t="shared" si="4"/>
        <v>24</v>
      </c>
    </row>
    <row r="46" spans="1:6">
      <c r="A46" s="13" t="s">
        <v>141</v>
      </c>
      <c r="B46" s="14" t="str">
        <f t="shared" si="0"/>
        <v>21000</v>
      </c>
      <c r="C46" t="str">
        <f t="shared" si="1"/>
        <v>Monday</v>
      </c>
      <c r="D46" s="14" t="str">
        <f t="shared" si="2"/>
        <v>0</v>
      </c>
      <c r="E46" s="14" t="str">
        <f t="shared" si="3"/>
        <v>Sunday</v>
      </c>
      <c r="F46" t="str">
        <f t="shared" si="4"/>
        <v>24</v>
      </c>
    </row>
    <row r="47" spans="1:6">
      <c r="A47" s="13" t="s">
        <v>142</v>
      </c>
      <c r="B47" s="14" t="str">
        <f t="shared" si="0"/>
        <v>21002</v>
      </c>
      <c r="C47" t="str">
        <f t="shared" si="1"/>
        <v>Monday</v>
      </c>
      <c r="D47" s="14" t="str">
        <f t="shared" si="2"/>
        <v>0</v>
      </c>
      <c r="E47" s="14" t="str">
        <f t="shared" si="3"/>
        <v>Sunday</v>
      </c>
      <c r="F47" t="str">
        <f t="shared" si="4"/>
        <v>24</v>
      </c>
    </row>
    <row r="48" spans="1:6">
      <c r="A48" s="13" t="s">
        <v>143</v>
      </c>
      <c r="B48" s="14" t="str">
        <f t="shared" si="0"/>
        <v>21004</v>
      </c>
      <c r="C48" t="str">
        <f t="shared" si="1"/>
        <v>Monday</v>
      </c>
      <c r="D48" s="14" t="str">
        <f t="shared" si="2"/>
        <v>0</v>
      </c>
      <c r="E48" s="14" t="str">
        <f t="shared" si="3"/>
        <v>Sunday</v>
      </c>
      <c r="F48" t="str">
        <f t="shared" si="4"/>
        <v>24</v>
      </c>
    </row>
    <row r="49" spans="1:6">
      <c r="A49" s="13" t="s">
        <v>144</v>
      </c>
      <c r="B49" s="14" t="str">
        <f t="shared" si="0"/>
        <v>21006</v>
      </c>
      <c r="C49" t="str">
        <f t="shared" si="1"/>
        <v>Monday</v>
      </c>
      <c r="D49" s="14" t="str">
        <f t="shared" si="2"/>
        <v>0</v>
      </c>
      <c r="E49" s="14" t="str">
        <f t="shared" si="3"/>
        <v>Sunday</v>
      </c>
      <c r="F49" t="str">
        <f t="shared" si="4"/>
        <v>24</v>
      </c>
    </row>
    <row r="50" spans="1:6">
      <c r="A50" s="13" t="s">
        <v>145</v>
      </c>
      <c r="B50" s="14" t="str">
        <f t="shared" si="0"/>
        <v>21008</v>
      </c>
      <c r="C50" t="str">
        <f t="shared" si="1"/>
        <v>Monday</v>
      </c>
      <c r="D50" s="14" t="str">
        <f t="shared" si="2"/>
        <v>0</v>
      </c>
      <c r="E50" s="14" t="str">
        <f t="shared" si="3"/>
        <v>Sunday</v>
      </c>
      <c r="F50" t="str">
        <f t="shared" si="4"/>
        <v>24</v>
      </c>
    </row>
    <row r="51" spans="1:6">
      <c r="A51" s="13" t="s">
        <v>146</v>
      </c>
      <c r="B51" s="14" t="str">
        <f t="shared" si="0"/>
        <v>21010</v>
      </c>
      <c r="C51" t="str">
        <f t="shared" si="1"/>
        <v>Monday</v>
      </c>
      <c r="D51" s="14" t="str">
        <f t="shared" si="2"/>
        <v>0</v>
      </c>
      <c r="E51" s="14" t="str">
        <f t="shared" si="3"/>
        <v>Sunday</v>
      </c>
      <c r="F51" t="str">
        <f t="shared" si="4"/>
        <v>24</v>
      </c>
    </row>
    <row r="52" spans="1:6">
      <c r="A52" s="13" t="s">
        <v>147</v>
      </c>
      <c r="B52" s="14" t="str">
        <f t="shared" si="0"/>
        <v>21012</v>
      </c>
      <c r="C52" t="str">
        <f t="shared" si="1"/>
        <v>Monday</v>
      </c>
      <c r="D52" s="14" t="str">
        <f t="shared" si="2"/>
        <v>0</v>
      </c>
      <c r="E52" s="14" t="str">
        <f t="shared" si="3"/>
        <v>Sunday</v>
      </c>
      <c r="F52" t="str">
        <f t="shared" si="4"/>
        <v>24</v>
      </c>
    </row>
    <row r="53" spans="1:6">
      <c r="A53" s="13" t="s">
        <v>148</v>
      </c>
      <c r="B53" s="14" t="str">
        <f t="shared" si="0"/>
        <v>21014</v>
      </c>
      <c r="C53" t="str">
        <f t="shared" si="1"/>
        <v>Monday</v>
      </c>
      <c r="D53" s="14" t="str">
        <f t="shared" si="2"/>
        <v>0</v>
      </c>
      <c r="E53" s="14" t="str">
        <f t="shared" si="3"/>
        <v>Sunday</v>
      </c>
      <c r="F53" t="str">
        <f t="shared" si="4"/>
        <v>24</v>
      </c>
    </row>
    <row r="54" spans="1:6">
      <c r="A54" s="16" t="s">
        <v>149</v>
      </c>
      <c r="B54" s="14" t="str">
        <f t="shared" si="0"/>
        <v>21016</v>
      </c>
      <c r="C54" t="str">
        <f t="shared" si="1"/>
        <v>Monday</v>
      </c>
      <c r="D54" s="14" t="str">
        <f t="shared" si="2"/>
        <v>0</v>
      </c>
      <c r="E54" s="14" t="str">
        <f t="shared" si="3"/>
        <v>Sunday</v>
      </c>
      <c r="F54" t="str">
        <f t="shared" si="4"/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>
      <selection activeCell="C22" sqref="C22"/>
    </sheetView>
  </sheetViews>
  <sheetFormatPr defaultColWidth="11" defaultRowHeight="13.8"/>
  <cols>
    <col min="1" max="1" width="28.21875" style="1" customWidth="1"/>
    <col min="2" max="2" width="110" style="1" customWidth="1"/>
    <col min="3" max="3" width="11" style="1" customWidth="1"/>
    <col min="4" max="4" width="13.21875" style="1" customWidth="1"/>
    <col min="5" max="5" width="10.77734375" style="1" customWidth="1"/>
    <col min="6" max="6" width="13.44140625" style="1" customWidth="1"/>
    <col min="7" max="8" width="14.5546875" style="1" customWidth="1"/>
    <col min="9" max="9" width="17.77734375" style="1" customWidth="1"/>
    <col min="10" max="10" width="11" style="1" customWidth="1"/>
    <col min="11" max="11" width="9" style="1" customWidth="1"/>
    <col min="12" max="12" width="10.77734375" style="1" customWidth="1"/>
    <col min="13" max="13" width="12.44140625" style="1" customWidth="1"/>
    <col min="14" max="14" width="11" style="1" customWidth="1"/>
    <col min="15" max="15" width="8" style="1" customWidth="1"/>
    <col min="16" max="16" width="12.44140625" style="1" customWidth="1"/>
    <col min="17" max="17" width="12.5546875" style="1" customWidth="1"/>
    <col min="18" max="18" width="24.21875" style="1" customWidth="1"/>
    <col min="19" max="19" width="12.5546875" style="1" customWidth="1"/>
    <col min="20" max="20" width="16" style="1" customWidth="1"/>
    <col min="21" max="21" width="9" style="1" customWidth="1"/>
    <col min="22" max="22" width="10.77734375" style="1" customWidth="1"/>
    <col min="23" max="24" width="13.44140625" style="1" customWidth="1"/>
    <col min="25" max="25" width="15" style="1" customWidth="1"/>
    <col min="26" max="16384" width="11" style="1"/>
  </cols>
  <sheetData>
    <row r="1" spans="1:3" ht="21">
      <c r="A1" s="2" t="s">
        <v>11</v>
      </c>
      <c r="B1" s="3" t="s">
        <v>150</v>
      </c>
    </row>
    <row r="2" spans="1:3" ht="18">
      <c r="B2" s="20" t="s">
        <v>151</v>
      </c>
    </row>
    <row r="5" spans="1:3" ht="14.4">
      <c r="B5" s="4" t="s">
        <v>100</v>
      </c>
    </row>
    <row r="6" spans="1:3" ht="14.4">
      <c r="A6" s="6" t="s">
        <v>101</v>
      </c>
      <c r="B6" s="4" t="s">
        <v>152</v>
      </c>
    </row>
    <row r="7" spans="1:3" ht="14.4">
      <c r="A7" s="6" t="s">
        <v>102</v>
      </c>
      <c r="B7" s="4" t="s">
        <v>153</v>
      </c>
    </row>
    <row r="8" spans="1:3">
      <c r="B8" s="1" t="s">
        <v>154</v>
      </c>
    </row>
    <row r="9" spans="1:3">
      <c r="B9" s="1" t="s">
        <v>155</v>
      </c>
    </row>
    <row r="10" spans="1:3" ht="23.4">
      <c r="A10" s="7" t="s">
        <v>95</v>
      </c>
    </row>
    <row r="11" spans="1:3" ht="14.4">
      <c r="A11" s="21" t="s">
        <v>156</v>
      </c>
      <c r="B11" s="11" t="s">
        <v>157</v>
      </c>
      <c r="C11" s="11" t="s">
        <v>158</v>
      </c>
    </row>
    <row r="12" spans="1:3" ht="14.4">
      <c r="A12" s="21">
        <v>44927</v>
      </c>
      <c r="B12" s="11" t="s">
        <v>159</v>
      </c>
      <c r="C12" s="11">
        <v>200</v>
      </c>
    </row>
    <row r="13" spans="1:3" ht="14.4">
      <c r="A13" s="21">
        <v>44928</v>
      </c>
      <c r="B13" s="11" t="s">
        <v>160</v>
      </c>
      <c r="C13" s="11" t="e">
        <v>#N/A</v>
      </c>
    </row>
    <row r="14" spans="1:3" ht="14.4">
      <c r="A14" s="21">
        <v>44929</v>
      </c>
      <c r="B14" s="11" t="s">
        <v>161</v>
      </c>
      <c r="C14" s="11">
        <v>50</v>
      </c>
    </row>
    <row r="15" spans="1:3" ht="14.4">
      <c r="A15" s="21">
        <v>44930</v>
      </c>
      <c r="B15" s="11" t="s">
        <v>162</v>
      </c>
      <c r="C15" s="11" t="e">
        <v>#N/A</v>
      </c>
    </row>
    <row r="16" spans="1:3" ht="14.4">
      <c r="A16" s="21">
        <v>44931</v>
      </c>
      <c r="B16" s="11" t="s">
        <v>163</v>
      </c>
      <c r="C16" s="11">
        <v>10</v>
      </c>
    </row>
    <row r="17" spans="1:6" ht="14.4">
      <c r="A17" s="21">
        <v>44932</v>
      </c>
      <c r="B17" s="11" t="s">
        <v>164</v>
      </c>
      <c r="C17" s="11">
        <v>150</v>
      </c>
    </row>
    <row r="18" spans="1:6" ht="14.4">
      <c r="A18" s="21">
        <v>44933</v>
      </c>
      <c r="B18" s="11" t="s">
        <v>165</v>
      </c>
      <c r="C18" s="11">
        <v>80</v>
      </c>
    </row>
    <row r="19" spans="1:6" ht="14.4">
      <c r="A19" s="21">
        <v>44934</v>
      </c>
      <c r="B19" s="11" t="s">
        <v>166</v>
      </c>
      <c r="C19" s="11" t="e">
        <v>#N/A</v>
      </c>
    </row>
    <row r="20" spans="1:6" ht="14.4">
      <c r="A20" s="21">
        <v>44935</v>
      </c>
      <c r="B20" s="11" t="s">
        <v>167</v>
      </c>
      <c r="C20" s="11">
        <v>30</v>
      </c>
      <c r="F20" s="1" t="b">
        <f>ISTEXT(C21)</f>
        <v>0</v>
      </c>
    </row>
    <row r="21" spans="1:6" ht="14.4">
      <c r="A21" s="21">
        <v>44936</v>
      </c>
      <c r="B21" s="11" t="s">
        <v>168</v>
      </c>
      <c r="C21" s="11" t="e">
        <v>#N/A</v>
      </c>
    </row>
    <row r="22" spans="1:6" ht="14.4">
      <c r="B22" s="11" t="s">
        <v>169</v>
      </c>
      <c r="C22" s="9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workbookViewId="0">
      <selection activeCell="C23" sqref="C23"/>
    </sheetView>
  </sheetViews>
  <sheetFormatPr defaultColWidth="11" defaultRowHeight="13.8"/>
  <cols>
    <col min="1" max="1" width="28.21875" style="1" customWidth="1"/>
    <col min="2" max="16384" width="11" style="1"/>
  </cols>
  <sheetData>
    <row r="1" spans="1:14" ht="21">
      <c r="A1" s="2" t="s">
        <v>12</v>
      </c>
      <c r="B1" s="3" t="s">
        <v>170</v>
      </c>
    </row>
    <row r="3" spans="1:14" ht="14.4">
      <c r="B3" s="4" t="s">
        <v>100</v>
      </c>
    </row>
    <row r="4" spans="1:14" ht="18">
      <c r="A4" s="5" t="s">
        <v>101</v>
      </c>
      <c r="B4" s="4"/>
    </row>
    <row r="5" spans="1:14" ht="18">
      <c r="A5" s="5" t="s">
        <v>102</v>
      </c>
      <c r="B5" s="4"/>
    </row>
    <row r="6" spans="1:14" ht="14.4">
      <c r="A6" s="6"/>
      <c r="B6" s="4"/>
    </row>
    <row r="8" spans="1:14" ht="23.4">
      <c r="A8" s="7" t="s">
        <v>95</v>
      </c>
      <c r="M8" s="7" t="s">
        <v>171</v>
      </c>
    </row>
    <row r="9" spans="1:14" ht="14.4">
      <c r="A9" s="8"/>
      <c r="B9" s="8" t="s">
        <v>172</v>
      </c>
      <c r="C9" s="8" t="s">
        <v>173</v>
      </c>
      <c r="D9" s="8" t="s">
        <v>174</v>
      </c>
      <c r="E9" s="8" t="s">
        <v>175</v>
      </c>
      <c r="F9" s="8" t="s">
        <v>176</v>
      </c>
      <c r="G9" s="8" t="s">
        <v>177</v>
      </c>
      <c r="H9" s="8" t="s">
        <v>178</v>
      </c>
      <c r="I9" s="8" t="s">
        <v>179</v>
      </c>
      <c r="J9" s="8" t="s">
        <v>180</v>
      </c>
      <c r="M9" s="19" t="s">
        <v>15</v>
      </c>
      <c r="N9" s="19" t="s">
        <v>181</v>
      </c>
    </row>
    <row r="10" spans="1:14" ht="14.4">
      <c r="A10" s="8" t="s">
        <v>172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172</v>
      </c>
    </row>
    <row r="11" spans="1:14" ht="14.4">
      <c r="A11" s="8" t="s">
        <v>173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173</v>
      </c>
    </row>
    <row r="12" spans="1:14" ht="14.4">
      <c r="A12" s="8" t="s">
        <v>174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174</v>
      </c>
    </row>
    <row r="13" spans="1:14" ht="14.4">
      <c r="A13" s="8" t="s">
        <v>175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175</v>
      </c>
    </row>
    <row r="14" spans="1:14" ht="14.4">
      <c r="A14" s="8" t="s">
        <v>176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176</v>
      </c>
    </row>
    <row r="15" spans="1:14" ht="14.4">
      <c r="A15" s="8" t="s">
        <v>177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177</v>
      </c>
    </row>
    <row r="16" spans="1:14" ht="14.4">
      <c r="A16" s="8" t="s">
        <v>178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178</v>
      </c>
    </row>
    <row r="17" spans="1:14" ht="14.4">
      <c r="A17" s="8" t="s">
        <v>179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179</v>
      </c>
    </row>
    <row r="18" spans="1:14" ht="14.4">
      <c r="A18" s="8" t="s">
        <v>180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180</v>
      </c>
    </row>
    <row r="21" spans="1:14" ht="23.4">
      <c r="A21" s="7" t="s">
        <v>182</v>
      </c>
    </row>
    <row r="22" spans="1:14" ht="14.4">
      <c r="A22" s="10" t="s">
        <v>183</v>
      </c>
      <c r="B22" s="11" t="s">
        <v>184</v>
      </c>
      <c r="C22" s="12" t="s">
        <v>104</v>
      </c>
    </row>
    <row r="23" spans="1:14" ht="14.4">
      <c r="A23" s="13">
        <v>10100</v>
      </c>
      <c r="B23" s="14">
        <v>10102</v>
      </c>
      <c r="C23" s="15"/>
    </row>
    <row r="24" spans="1:14" ht="14.4">
      <c r="A24" s="13">
        <v>10100</v>
      </c>
      <c r="B24" s="14">
        <v>10104</v>
      </c>
      <c r="C24" s="15"/>
    </row>
    <row r="25" spans="1:14" ht="14.4">
      <c r="A25" s="13">
        <v>10108</v>
      </c>
      <c r="B25" s="14">
        <v>10102</v>
      </c>
      <c r="C25" s="15"/>
    </row>
    <row r="26" spans="1:14" ht="14.4">
      <c r="A26" s="13">
        <v>10100</v>
      </c>
      <c r="B26" s="14">
        <v>10106</v>
      </c>
      <c r="C26" s="15"/>
    </row>
    <row r="27" spans="1:14" ht="14.4">
      <c r="A27" s="13">
        <v>10108</v>
      </c>
      <c r="B27" s="14">
        <v>10110</v>
      </c>
      <c r="C27" s="15"/>
    </row>
    <row r="28" spans="1:14" ht="14.4">
      <c r="A28" s="13">
        <v>10102</v>
      </c>
      <c r="B28" s="14">
        <v>10104</v>
      </c>
      <c r="C28" s="15"/>
    </row>
    <row r="29" spans="1:14" ht="14.4">
      <c r="A29" s="13">
        <v>10106</v>
      </c>
      <c r="B29" s="14">
        <v>10108</v>
      </c>
      <c r="C29" s="15"/>
    </row>
    <row r="30" spans="1:14" ht="14.4">
      <c r="A30" s="13">
        <v>10102</v>
      </c>
      <c r="B30" s="14">
        <v>10106</v>
      </c>
      <c r="C30" s="15"/>
    </row>
    <row r="31" spans="1:14" ht="14.4">
      <c r="A31" s="13">
        <v>10110</v>
      </c>
      <c r="B31" s="14">
        <v>10114</v>
      </c>
      <c r="C31" s="15"/>
    </row>
    <row r="32" spans="1:14" ht="14.4">
      <c r="A32" s="13">
        <v>10104</v>
      </c>
      <c r="B32" s="14">
        <v>10106</v>
      </c>
      <c r="C32" s="15"/>
    </row>
    <row r="33" spans="1:3" ht="14.4">
      <c r="A33" s="13">
        <v>10110</v>
      </c>
      <c r="B33" s="14">
        <v>10112</v>
      </c>
      <c r="C33" s="15"/>
    </row>
    <row r="34" spans="1:3" ht="14.4">
      <c r="A34" s="13">
        <v>10100</v>
      </c>
      <c r="B34" s="14">
        <v>10114</v>
      </c>
      <c r="C34" s="15"/>
    </row>
    <row r="35" spans="1:3" ht="14.4">
      <c r="A35" s="16">
        <v>10112</v>
      </c>
      <c r="B35" s="17">
        <v>10116</v>
      </c>
      <c r="C3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ASUS</cp:lastModifiedBy>
  <dcterms:created xsi:type="dcterms:W3CDTF">2015-02-10T17:33:00Z</dcterms:created>
  <dcterms:modified xsi:type="dcterms:W3CDTF">2024-10-24T08:23:45Z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DE8A1FF93CDD4FA2B2459C5BF0EA9EEA_12</vt:lpwstr>
  </property>
  <property fmtid="{D5CDD505-2E9C-101B-9397-08002B2CF9AE}" pid="3" name="KSOProductBuildVer">
    <vt:lpwstr>1033-12.2.0.18607</vt:lpwstr>
  </property>
</Properties>
</file>